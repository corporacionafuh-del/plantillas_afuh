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R\AREA RECEPCCION\Clinica_Internacional\"/>
    </mc:Choice>
  </mc:AlternateContent>
  <xr:revisionPtr revIDLastSave="0" documentId="13_ncr:1_{E6451497-03D8-4368-A8A4-3CEB5066FB2F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FORMATO" sheetId="2" state="hidden" r:id="rId1"/>
    <sheet name="EJEMPLO" sheetId="5" state="hidden" r:id="rId2"/>
    <sheet name="CARACTERISTICAS A VERIFICAR" sheetId="4" state="hidden" r:id="rId3"/>
    <sheet name="CONTROL DE CAMBIOS" sheetId="3" state="hidden" r:id="rId4"/>
    <sheet name="FLUJO DE APROBACION" sheetId="6" state="hidden" r:id="rId5"/>
    <sheet name="FOR-FAR-099 OLT" sheetId="11" r:id="rId6"/>
    <sheet name="FOR-FAR-099 (2)" sheetId="10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10" l="1"/>
  <c r="G20" i="10"/>
  <c r="F20" i="10"/>
  <c r="E20" i="10"/>
  <c r="C20" i="10"/>
  <c r="J19" i="10"/>
  <c r="G19" i="10"/>
  <c r="F19" i="10"/>
  <c r="E19" i="10"/>
  <c r="C19" i="10"/>
  <c r="J18" i="10"/>
  <c r="G18" i="10"/>
  <c r="F18" i="10"/>
  <c r="E18" i="10"/>
  <c r="C18" i="10"/>
  <c r="J17" i="10"/>
  <c r="G17" i="10"/>
  <c r="F17" i="10"/>
  <c r="E17" i="10"/>
  <c r="C17" i="10"/>
  <c r="J16" i="10"/>
  <c r="G16" i="10"/>
  <c r="F16" i="10"/>
  <c r="E16" i="10"/>
  <c r="C16" i="10"/>
  <c r="J15" i="10"/>
  <c r="G15" i="10"/>
  <c r="F15" i="10"/>
  <c r="E15" i="10"/>
  <c r="C15" i="10"/>
  <c r="J14" i="10"/>
  <c r="G14" i="10"/>
  <c r="F14" i="10"/>
  <c r="E14" i="10"/>
  <c r="C14" i="10"/>
  <c r="J13" i="10"/>
  <c r="G13" i="10"/>
  <c r="F13" i="10"/>
  <c r="E13" i="10"/>
  <c r="C13" i="10"/>
  <c r="J12" i="10"/>
  <c r="G12" i="10"/>
  <c r="F12" i="10"/>
  <c r="E12" i="10"/>
  <c r="C12" i="10"/>
  <c r="J11" i="10"/>
  <c r="G11" i="10"/>
  <c r="F11" i="10"/>
  <c r="E11" i="10"/>
  <c r="C11" i="10"/>
  <c r="J10" i="10"/>
  <c r="G10" i="10"/>
  <c r="F10" i="10"/>
  <c r="E10" i="10"/>
  <c r="C10" i="10"/>
  <c r="J9" i="10"/>
  <c r="G9" i="10"/>
  <c r="F9" i="10"/>
  <c r="E9" i="10"/>
  <c r="C9" i="10"/>
  <c r="J8" i="10"/>
  <c r="G8" i="10"/>
  <c r="F8" i="10"/>
  <c r="E8" i="10"/>
  <c r="C8" i="10"/>
</calcChain>
</file>

<file path=xl/sharedStrings.xml><?xml version="1.0" encoding="utf-8"?>
<sst xmlns="http://schemas.openxmlformats.org/spreadsheetml/2006/main" count="285" uniqueCount="107">
  <si>
    <t>FORMATO</t>
  </si>
  <si>
    <t>Código : FOR-FAR-099</t>
  </si>
  <si>
    <t>Fecha de Aprobación:
Ago- 2024</t>
  </si>
  <si>
    <t>Recepción de Productos Farmacéuticos, Dispositivos Médicos y Productos Sanitarios</t>
  </si>
  <si>
    <t>Versión: 01</t>
  </si>
  <si>
    <t>Fecha:</t>
  </si>
  <si>
    <t>Farmacia:</t>
  </si>
  <si>
    <t>Sede:</t>
  </si>
  <si>
    <t>Documento recibido y Número</t>
  </si>
  <si>
    <t>Proveedor</t>
  </si>
  <si>
    <t>Item</t>
  </si>
  <si>
    <t>Código</t>
  </si>
  <si>
    <t>Producto</t>
  </si>
  <si>
    <t>Concentración</t>
  </si>
  <si>
    <t>Forma Farmacéutica</t>
  </si>
  <si>
    <t>Presentación</t>
  </si>
  <si>
    <t>Fabricante</t>
  </si>
  <si>
    <t>Lote</t>
  </si>
  <si>
    <t>Fecha de Vencimiento</t>
  </si>
  <si>
    <t>R.S.  / N.S.O.</t>
  </si>
  <si>
    <t>Cantidad Solicitada (unidades)</t>
  </si>
  <si>
    <t>Cantidad Recibida (unidades)</t>
  </si>
  <si>
    <t>T° Recibida</t>
  </si>
  <si>
    <t>VERIFICACIÓN</t>
  </si>
  <si>
    <t>DETALLE</t>
  </si>
  <si>
    <t xml:space="preserve">Conforme                  </t>
  </si>
  <si>
    <t xml:space="preserve">No Conforme   </t>
  </si>
  <si>
    <r>
      <rPr>
        <b/>
        <sz val="8"/>
        <color rgb="FF000000"/>
        <rFont val="Times New Roman"/>
        <charset val="134"/>
      </rPr>
      <t>OBSERVACION</t>
    </r>
    <r>
      <rPr>
        <b/>
        <sz val="8"/>
        <rFont val="Arial"/>
        <charset val="134"/>
      </rPr>
      <t xml:space="preserve"> (ES):</t>
    </r>
  </si>
  <si>
    <t xml:space="preserve">Embalaje :           </t>
  </si>
  <si>
    <t>NO ESTA ABIERTO, NO QUEBRADO, NO HUMEDO, NO DETERIORADO</t>
  </si>
  <si>
    <t>..............................................</t>
  </si>
  <si>
    <t xml:space="preserve">Envase mediato  : </t>
  </si>
  <si>
    <t xml:space="preserve">NO SE ENCUENTRE ABIERTO, ARRUGADO, QUEBRADO, SIN OBSERVACIONES Y CUENTA CON CIERRE O SELLO DEL ENVASE PARA QUE SEA SEGURO, SE ENCUENTRA INTACTA </t>
  </si>
  <si>
    <t xml:space="preserve">Envase  Inmediato :  </t>
  </si>
  <si>
    <t>NO SE ENCUENTRE ABIERTO, ARRUGADO, QUEBRADO, SIN OBSERVACIONES</t>
  </si>
  <si>
    <t>Condiciones especiales de almacenamiento</t>
  </si>
  <si>
    <t>CUANDO CORRESPONDA A PRODUCTOS REFRIGERADOS</t>
  </si>
  <si>
    <t>ldentificación de Productos</t>
  </si>
  <si>
    <t>LA IDENTIFICACIÓN DEL PRODUCTO Y/O DISPOSITIVO  CORRESPONDE A LOS DOCUMENTOS PRESENTADOS DEL PROVEEDOR</t>
  </si>
  <si>
    <t>CONCLUSION</t>
  </si>
  <si>
    <t xml:space="preserve">Aprobado </t>
  </si>
  <si>
    <t xml:space="preserve">Rechazado </t>
  </si>
  <si>
    <t>R.S.</t>
  </si>
  <si>
    <t xml:space="preserve">Registro Sanitario </t>
  </si>
  <si>
    <t>N.S.O.</t>
  </si>
  <si>
    <t xml:space="preserve">Notificación Sanitaria Obligatoria </t>
  </si>
  <si>
    <t>T°</t>
  </si>
  <si>
    <t>Temperatura</t>
  </si>
  <si>
    <t xml:space="preserve">Responsable de Recepción </t>
  </si>
  <si>
    <t>VB°  Director Técnico</t>
  </si>
  <si>
    <t>Código : FOR-FAR-XXX</t>
  </si>
  <si>
    <t>Fecha de Aprobación:
Abr- 2024</t>
  </si>
  <si>
    <t>HOSPITALARIA</t>
  </si>
  <si>
    <t>SSB</t>
  </si>
  <si>
    <t>Factura 001-003</t>
  </si>
  <si>
    <t>Amoxicilina</t>
  </si>
  <si>
    <t>500mg</t>
  </si>
  <si>
    <t>capsulas</t>
  </si>
  <si>
    <t>caja x 100</t>
  </si>
  <si>
    <t>Genfar</t>
  </si>
  <si>
    <t>23°C</t>
  </si>
  <si>
    <t>EJEMPLO - SE BORRARA</t>
  </si>
  <si>
    <t>BPOF</t>
  </si>
  <si>
    <t>7.5.1.7</t>
  </si>
  <si>
    <t>Las caracteristicas basicas a verificar en los productos y/o dispositivos, según los tipos de envase son:</t>
  </si>
  <si>
    <t>a.</t>
  </si>
  <si>
    <t>VIDRIO</t>
  </si>
  <si>
    <t>1. No deben estar vacios o incompletos</t>
  </si>
  <si>
    <t>b.</t>
  </si>
  <si>
    <t>DE PLASTICO</t>
  </si>
  <si>
    <t>c.</t>
  </si>
  <si>
    <t>DE ALUMINIO</t>
  </si>
  <si>
    <t>d.</t>
  </si>
  <si>
    <t>BLISTER TERMOSELLADO O FOLIOS</t>
  </si>
  <si>
    <t>e.</t>
  </si>
  <si>
    <t>OTRO MATERIAL DE ENVASE</t>
  </si>
  <si>
    <t>7.5.1.8</t>
  </si>
  <si>
    <t xml:space="preserve">Los productos y/o dispositivos sujetos a cadena de frío deben ser recepcionados con prioridad y rápidez para ser trasladados al área de almacenamiento, asegurándose que duramte el transporte se haya mantenido la cadena de frío. </t>
  </si>
  <si>
    <t>CONTROL DE CAMBIOS</t>
  </si>
  <si>
    <t>N° Versión</t>
  </si>
  <si>
    <t>Descripción de Cambios</t>
  </si>
  <si>
    <t>Página</t>
  </si>
  <si>
    <t>Documento nuevo</t>
  </si>
  <si>
    <t>Todos</t>
  </si>
  <si>
    <t>Nombre y Apellido</t>
  </si>
  <si>
    <t>Cargo</t>
  </si>
  <si>
    <t>Gerencia / Dirección</t>
  </si>
  <si>
    <t>Editor</t>
  </si>
  <si>
    <t>Evelin Huamani</t>
  </si>
  <si>
    <t>Gestor de Farmacia Ambulatoria</t>
  </si>
  <si>
    <t>Dirección Médica Corporativa</t>
  </si>
  <si>
    <t>Revisor</t>
  </si>
  <si>
    <t>Ruth Villarruel</t>
  </si>
  <si>
    <t>Jefe Clínico de Farmacia</t>
  </si>
  <si>
    <t>Severo Huamán</t>
  </si>
  <si>
    <t>Gestor de Farmacovigilancia</t>
  </si>
  <si>
    <t>Aprobador</t>
  </si>
  <si>
    <t>Enma Córdova</t>
  </si>
  <si>
    <t>Sub Gerente Clínico de Farmacia</t>
  </si>
  <si>
    <t>DELIVERY</t>
  </si>
  <si>
    <t>LIMA</t>
  </si>
  <si>
    <t>OBSERVACION (ES):</t>
  </si>
  <si>
    <t>X</t>
  </si>
  <si>
    <t>SOP</t>
  </si>
  <si>
    <t>-</t>
  </si>
  <si>
    <t>23°</t>
  </si>
  <si>
    <t>CONCLUSION: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</si>
</sst>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%"/>
  </numFmts>
  <fonts count="33">
    <font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sz val="10"/>
      <color rgb="FF000000"/>
      <name val="Trebuchet MS"/>
      <charset val="134"/>
    </font>
    <font>
      <sz val="8"/>
      <name val="Calibri"/>
      <charset val="134"/>
      <scheme val="minor"/>
    </font>
    <font>
      <sz val="10"/>
      <name val="Calibri"/>
      <charset val="134"/>
      <scheme val="minor"/>
    </font>
    <font>
      <b/>
      <sz val="7"/>
      <color rgb="FF000000"/>
      <name val="Calibri"/>
      <charset val="134"/>
      <scheme val="minor"/>
    </font>
    <font>
      <sz val="7"/>
      <color rgb="FF000000"/>
      <name val="Calibri"/>
      <charset val="134"/>
      <scheme val="minor"/>
    </font>
    <font>
      <b/>
      <i/>
      <u/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Arial"/>
      <charset val="134"/>
    </font>
    <font>
      <b/>
      <sz val="8"/>
      <name val="Arial"/>
      <charset val="134"/>
    </font>
    <font>
      <b/>
      <sz val="12"/>
      <name val="Arial"/>
      <charset val="134"/>
    </font>
    <font>
      <b/>
      <sz val="9"/>
      <name val="Arial"/>
      <charset val="134"/>
    </font>
    <font>
      <b/>
      <sz val="12"/>
      <color theme="1"/>
      <name val="Arial"/>
      <charset val="134"/>
    </font>
    <font>
      <b/>
      <sz val="10"/>
      <color rgb="FF0070C0"/>
      <name val="Arial"/>
      <charset val="134"/>
    </font>
    <font>
      <b/>
      <sz val="10"/>
      <name val="Calibri"/>
      <charset val="134"/>
      <scheme val="minor"/>
    </font>
    <font>
      <b/>
      <sz val="10"/>
      <color theme="8" tint="-0.249977111117893"/>
      <name val="Arial"/>
      <charset val="134"/>
    </font>
    <font>
      <b/>
      <sz val="8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18"/>
      <name val="Arial"/>
      <charset val="134"/>
    </font>
    <font>
      <b/>
      <sz val="11"/>
      <color rgb="FF000000"/>
      <name val="Calibri"/>
      <charset val="134"/>
      <scheme val="minor"/>
    </font>
    <font>
      <b/>
      <sz val="14"/>
      <color theme="1"/>
      <name val="Arial"/>
      <charset val="134"/>
    </font>
    <font>
      <b/>
      <sz val="14"/>
      <color rgb="FF0070C0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rgb="FF0070C0"/>
      <name val="Arial"/>
      <charset val="134"/>
    </font>
    <font>
      <b/>
      <sz val="10"/>
      <color theme="8" tint="-0.249977111117893"/>
      <name val="Trebuchet MS"/>
      <charset val="134"/>
    </font>
    <font>
      <b/>
      <sz val="10"/>
      <color theme="8" tint="-0.249977111117893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DDFE2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1" fillId="0" borderId="0"/>
    <xf numFmtId="0" fontId="32" fillId="0" borderId="0"/>
  </cellStyleXfs>
  <cellXfs count="186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10" fillId="0" borderId="1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10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 indent="4"/>
    </xf>
    <xf numFmtId="0" fontId="4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4" fillId="3" borderId="19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1" fillId="0" borderId="13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26" fillId="0" borderId="22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0" fillId="0" borderId="1" xfId="0" applyBorder="1"/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wrapText="1"/>
    </xf>
    <xf numFmtId="0" fontId="0" fillId="0" borderId="30" xfId="0" applyBorder="1"/>
    <xf numFmtId="0" fontId="0" fillId="0" borderId="9" xfId="0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 indent="4"/>
    </xf>
    <xf numFmtId="0" fontId="13" fillId="0" borderId="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wrapText="1"/>
    </xf>
    <xf numFmtId="0" fontId="5" fillId="0" borderId="31" xfId="0" applyFont="1" applyBorder="1" applyAlignment="1">
      <alignment horizontal="left" wrapText="1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31000000}"/>
    <cellStyle name="Normal 3" xfId="1" xr:uid="{00000000-0005-0000-0000-000006000000}"/>
  </cellStyles>
  <dxfs count="0"/>
  <tableStyles count="0" defaultTableStyle="TableStyleMedium2" defaultPivotStyle="PivotStyleLight16"/>
  <colors>
    <mruColors>
      <color rgb="FFFABBC1"/>
      <color rgb="FFFDDFE2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372631</xdr:colOff>
      <xdr:row>0</xdr:row>
      <xdr:rowOff>72655</xdr:rowOff>
    </xdr:from>
    <xdr:to>
      <xdr:col>2</xdr:col>
      <xdr:colOff>657225</xdr:colOff>
      <xdr:row>1</xdr:row>
      <xdr:rowOff>247650</xdr:rowOff>
    </xdr:to>
    <xdr:pic>
      <xdr:nvPicPr>
        <xdr:cNvPr id="2" name="Imagen 1" descr="Logo C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652" t="33520" r="65732" b="17929"/>
        <a:stretch>
          <a:fillRect/>
        </a:stretch>
      </xdr:blipFill>
      <xdr:spPr>
        <a:xfrm>
          <a:off x="372110" y="72390"/>
          <a:ext cx="1932940" cy="4800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325006</xdr:colOff>
      <xdr:row>0</xdr:row>
      <xdr:rowOff>15505</xdr:rowOff>
    </xdr:from>
    <xdr:to>
      <xdr:col>2</xdr:col>
      <xdr:colOff>532538</xdr:colOff>
      <xdr:row>1</xdr:row>
      <xdr:rowOff>190500</xdr:rowOff>
    </xdr:to>
    <xdr:pic>
      <xdr:nvPicPr>
        <xdr:cNvPr id="2" name="Imagen 1" descr="Logo C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652" t="33520" r="65732" b="17929"/>
        <a:stretch>
          <a:fillRect/>
        </a:stretch>
      </xdr:blipFill>
      <xdr:spPr>
        <a:xfrm>
          <a:off x="324485" y="15240"/>
          <a:ext cx="1655445" cy="48006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372631</xdr:colOff>
      <xdr:row>0</xdr:row>
      <xdr:rowOff>72655</xdr:rowOff>
    </xdr:from>
    <xdr:to>
      <xdr:col>2</xdr:col>
      <xdr:colOff>657225</xdr:colOff>
      <xdr:row>1</xdr:row>
      <xdr:rowOff>247650</xdr:rowOff>
    </xdr:to>
    <xdr:pic>
      <xdr:nvPicPr>
        <xdr:cNvPr id="2" name="Imagen 1" descr="Logo CI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652" t="33520" r="65732" b="17929"/>
        <a:stretch>
          <a:fillRect/>
        </a:stretch>
      </xdr:blipFill>
      <xdr:spPr>
        <a:xfrm>
          <a:off x="372110" y="72390"/>
          <a:ext cx="1866265" cy="48006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372631</xdr:colOff>
      <xdr:row>0</xdr:row>
      <xdr:rowOff>72655</xdr:rowOff>
    </xdr:from>
    <xdr:to>
      <xdr:col>2</xdr:col>
      <xdr:colOff>657225</xdr:colOff>
      <xdr:row>1</xdr:row>
      <xdr:rowOff>247650</xdr:rowOff>
    </xdr:to>
    <xdr:pic>
      <xdr:nvPicPr>
        <xdr:cNvPr id="2" name="Imagen 1" descr="Logo CI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652" t="33520" r="65732" b="17929"/>
        <a:stretch>
          <a:fillRect/>
        </a:stretch>
      </xdr:blipFill>
      <xdr:spPr>
        <a:xfrm>
          <a:off x="372110" y="72390"/>
          <a:ext cx="1932940" cy="4800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39"/>
  <sheetViews>
    <sheetView view="pageBreakPreview" zoomScaleNormal="100" zoomScaleSheetLayoutView="100" workbookViewId="0">
      <selection activeCell="B8" sqref="B8"/>
    </sheetView>
  </sheetViews>
  <sheetFormatPr baseColWidth="10" defaultColWidth="11.42578125" defaultRowHeight="12.75"/>
  <cols>
    <col min="1" max="1" width="10.42578125" customWidth="1"/>
    <col min="2" max="2" width="14.28515625" style="2" customWidth="1"/>
    <col min="3" max="3" width="47.5703125" style="2" customWidth="1"/>
    <col min="7" max="7" width="12.28515625" customWidth="1"/>
    <col min="8" max="8" width="17.140625" customWidth="1"/>
    <col min="9" max="9" width="12.5703125" customWidth="1"/>
    <col min="10" max="10" width="15.5703125" customWidth="1"/>
    <col min="11" max="11" width="14" customWidth="1"/>
    <col min="12" max="12" width="11.5703125" customWidth="1"/>
    <col min="13" max="13" width="12.42578125" customWidth="1"/>
    <col min="14" max="14" width="25.5703125" customWidth="1"/>
  </cols>
  <sheetData>
    <row r="1" spans="1:14" s="1" customFormat="1" ht="24" customHeight="1">
      <c r="A1" s="129"/>
      <c r="B1" s="130"/>
      <c r="C1" s="130"/>
      <c r="D1" s="144" t="s">
        <v>0</v>
      </c>
      <c r="E1" s="145"/>
      <c r="F1" s="145"/>
      <c r="G1" s="145"/>
      <c r="H1" s="145"/>
      <c r="I1" s="145"/>
      <c r="J1" s="152" t="s">
        <v>1</v>
      </c>
      <c r="K1" s="153"/>
      <c r="L1" s="158" t="s">
        <v>2</v>
      </c>
      <c r="M1" s="159"/>
    </row>
    <row r="2" spans="1:14" s="1" customFormat="1" ht="27.75" customHeight="1">
      <c r="A2" s="129"/>
      <c r="B2" s="130"/>
      <c r="C2" s="130"/>
      <c r="D2" s="154" t="s">
        <v>3</v>
      </c>
      <c r="E2" s="155"/>
      <c r="F2" s="155"/>
      <c r="G2" s="155"/>
      <c r="H2" s="155"/>
      <c r="I2" s="155"/>
      <c r="J2" s="156" t="s">
        <v>4</v>
      </c>
      <c r="K2" s="157"/>
      <c r="L2" s="160"/>
      <c r="M2" s="161"/>
    </row>
    <row r="3" spans="1:14" s="1" customFormat="1" ht="8.25" customHeight="1">
      <c r="A3" s="4"/>
      <c r="B3" s="5"/>
      <c r="C3" s="5"/>
      <c r="D3" s="6"/>
      <c r="E3" s="6"/>
      <c r="F3" s="6"/>
      <c r="G3" s="6"/>
      <c r="H3" s="6"/>
      <c r="I3" s="6"/>
      <c r="J3" s="39"/>
      <c r="K3" s="39"/>
      <c r="L3" s="39"/>
      <c r="M3" s="39"/>
    </row>
    <row r="4" spans="1:14" s="1" customFormat="1" ht="33" customHeight="1">
      <c r="A4" s="133" t="s">
        <v>5</v>
      </c>
      <c r="B4" s="135"/>
      <c r="C4" s="136"/>
      <c r="D4" s="134" t="s">
        <v>6</v>
      </c>
      <c r="E4" s="131"/>
      <c r="F4" s="131"/>
      <c r="G4" s="134" t="s">
        <v>7</v>
      </c>
      <c r="H4" s="131"/>
      <c r="I4" s="131"/>
      <c r="J4" s="40" t="s">
        <v>8</v>
      </c>
      <c r="K4" s="146"/>
      <c r="L4" s="147"/>
      <c r="M4" s="147"/>
    </row>
    <row r="5" spans="1:14" s="1" customFormat="1" ht="21" customHeight="1">
      <c r="A5" s="133"/>
      <c r="B5" s="136"/>
      <c r="C5" s="136"/>
      <c r="D5" s="134"/>
      <c r="E5" s="131"/>
      <c r="F5" s="131"/>
      <c r="G5" s="134"/>
      <c r="H5" s="131"/>
      <c r="I5" s="131"/>
      <c r="J5" s="41" t="s">
        <v>9</v>
      </c>
      <c r="K5" s="146"/>
      <c r="L5" s="147"/>
      <c r="M5" s="147"/>
    </row>
    <row r="6" spans="1:14" ht="8.25" customHeight="1">
      <c r="A6" s="9"/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4" ht="33.75">
      <c r="A7" s="11" t="s">
        <v>10</v>
      </c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2" t="s">
        <v>17</v>
      </c>
      <c r="I7" s="12" t="s">
        <v>18</v>
      </c>
      <c r="J7" s="12" t="s">
        <v>19</v>
      </c>
      <c r="K7" s="12" t="s">
        <v>20</v>
      </c>
      <c r="L7" s="12" t="s">
        <v>21</v>
      </c>
      <c r="M7" s="42" t="s">
        <v>22</v>
      </c>
    </row>
    <row r="8" spans="1:14" ht="24.95" customHeight="1">
      <c r="A8" s="13">
        <v>1</v>
      </c>
      <c r="B8" s="14"/>
      <c r="C8" s="15"/>
      <c r="D8" s="122"/>
      <c r="E8" s="16"/>
      <c r="F8" s="17"/>
      <c r="G8" s="17"/>
      <c r="H8" s="14"/>
      <c r="I8" s="127"/>
      <c r="J8" s="17"/>
      <c r="K8" s="44"/>
      <c r="L8" s="128"/>
      <c r="M8" s="45"/>
      <c r="N8" s="46"/>
    </row>
    <row r="9" spans="1:14" ht="24.95" customHeight="1">
      <c r="A9" s="13">
        <v>2</v>
      </c>
      <c r="B9" s="14"/>
      <c r="C9" s="15"/>
      <c r="D9" s="123"/>
      <c r="E9" s="16"/>
      <c r="F9" s="17"/>
      <c r="G9" s="17"/>
      <c r="H9" s="14"/>
      <c r="I9" s="127"/>
      <c r="J9" s="17"/>
      <c r="K9" s="44"/>
      <c r="L9" s="44"/>
      <c r="M9" s="45"/>
    </row>
    <row r="10" spans="1:14" ht="24.95" customHeight="1">
      <c r="A10" s="13">
        <v>3</v>
      </c>
      <c r="B10" s="14"/>
      <c r="C10" s="15"/>
      <c r="D10" s="77"/>
      <c r="E10" s="16"/>
      <c r="F10" s="17"/>
      <c r="G10" s="17"/>
      <c r="H10" s="14"/>
      <c r="I10" s="127"/>
      <c r="J10" s="17"/>
      <c r="K10" s="44"/>
      <c r="L10" s="44"/>
      <c r="M10" s="45"/>
    </row>
    <row r="11" spans="1:14" ht="24.95" customHeight="1">
      <c r="A11" s="13">
        <v>4</v>
      </c>
      <c r="B11" s="14"/>
      <c r="C11" s="15"/>
      <c r="D11" s="77"/>
      <c r="E11" s="16"/>
      <c r="F11" s="17"/>
      <c r="G11" s="17"/>
      <c r="H11" s="14"/>
      <c r="I11" s="127"/>
      <c r="J11" s="17"/>
      <c r="K11" s="44"/>
      <c r="L11" s="44"/>
      <c r="M11" s="45"/>
    </row>
    <row r="12" spans="1:14" ht="24.95" customHeight="1">
      <c r="A12" s="13">
        <v>5</v>
      </c>
      <c r="B12" s="14"/>
      <c r="C12" s="15"/>
      <c r="D12" s="77"/>
      <c r="E12" s="16"/>
      <c r="F12" s="17"/>
      <c r="G12" s="17"/>
      <c r="H12" s="14"/>
      <c r="I12" s="127"/>
      <c r="J12" s="17"/>
      <c r="K12" s="44"/>
      <c r="L12" s="128"/>
      <c r="M12" s="45"/>
    </row>
    <row r="13" spans="1:14" ht="29.1" customHeight="1">
      <c r="A13" s="13">
        <v>6</v>
      </c>
      <c r="B13" s="14"/>
      <c r="C13" s="15"/>
      <c r="D13" s="77"/>
      <c r="E13" s="16"/>
      <c r="F13" s="17"/>
      <c r="G13" s="17"/>
      <c r="H13" s="14"/>
      <c r="I13" s="127"/>
      <c r="J13" s="17"/>
      <c r="K13" s="44"/>
      <c r="L13" s="44"/>
      <c r="M13" s="45"/>
    </row>
    <row r="14" spans="1:14" ht="24.95" customHeight="1">
      <c r="A14" s="13">
        <v>7</v>
      </c>
      <c r="B14" s="14"/>
      <c r="C14" s="15"/>
      <c r="D14" s="123"/>
      <c r="E14" s="16"/>
      <c r="F14" s="17"/>
      <c r="G14" s="17"/>
      <c r="H14" s="14"/>
      <c r="I14" s="127"/>
      <c r="J14" s="17"/>
      <c r="K14" s="44"/>
      <c r="L14" s="44"/>
      <c r="M14" s="45"/>
    </row>
    <row r="15" spans="1:14" ht="24.95" customHeight="1">
      <c r="A15" s="19">
        <v>8</v>
      </c>
      <c r="B15" s="14"/>
      <c r="C15" s="15"/>
      <c r="D15" s="124"/>
      <c r="E15" s="16"/>
      <c r="F15" s="17"/>
      <c r="G15" s="17"/>
      <c r="H15" s="14"/>
      <c r="I15" s="127"/>
      <c r="J15" s="17"/>
      <c r="K15" s="44"/>
      <c r="L15" s="44"/>
      <c r="M15" s="45"/>
    </row>
    <row r="16" spans="1:14" ht="24.95" customHeight="1">
      <c r="A16" s="19">
        <v>9</v>
      </c>
      <c r="B16" s="14"/>
      <c r="C16" s="15"/>
      <c r="D16" s="125"/>
      <c r="E16" s="16"/>
      <c r="F16" s="17"/>
      <c r="G16" s="17"/>
      <c r="H16" s="14"/>
      <c r="I16" s="127"/>
      <c r="J16" s="17"/>
      <c r="K16" s="44"/>
      <c r="L16" s="44"/>
      <c r="M16" s="45"/>
    </row>
    <row r="17" spans="1:13" ht="24.95" customHeight="1">
      <c r="A17" s="19">
        <v>10</v>
      </c>
      <c r="B17" s="14"/>
      <c r="C17" s="126"/>
      <c r="D17" s="123"/>
      <c r="E17" s="16"/>
      <c r="F17" s="17"/>
      <c r="G17" s="17"/>
      <c r="H17" s="14"/>
      <c r="I17" s="127"/>
      <c r="J17" s="17"/>
      <c r="K17" s="44"/>
      <c r="L17" s="44"/>
      <c r="M17" s="45"/>
    </row>
    <row r="18" spans="1:13" ht="24.95" customHeight="1">
      <c r="A18" s="19">
        <v>11</v>
      </c>
      <c r="B18" s="14"/>
      <c r="C18" s="15"/>
      <c r="D18" s="123"/>
      <c r="E18" s="16"/>
      <c r="F18" s="17"/>
      <c r="G18" s="17"/>
      <c r="H18" s="14"/>
      <c r="I18" s="127"/>
      <c r="J18" s="17"/>
      <c r="K18" s="44"/>
      <c r="L18" s="44"/>
      <c r="M18" s="45"/>
    </row>
    <row r="19" spans="1:13" ht="24.95" customHeight="1">
      <c r="A19" s="19">
        <v>12</v>
      </c>
      <c r="B19" s="14"/>
      <c r="C19" s="15"/>
      <c r="D19" s="123"/>
      <c r="E19" s="16"/>
      <c r="F19" s="17"/>
      <c r="G19" s="17"/>
      <c r="H19" s="14"/>
      <c r="I19" s="127"/>
      <c r="J19" s="17"/>
      <c r="K19" s="44"/>
      <c r="L19" s="44"/>
      <c r="M19" s="45"/>
    </row>
    <row r="20" spans="1:13" ht="24.95" customHeight="1">
      <c r="A20" s="19">
        <v>13</v>
      </c>
      <c r="B20" s="14"/>
      <c r="C20" s="15"/>
      <c r="D20" s="123"/>
      <c r="E20" s="16"/>
      <c r="F20" s="17"/>
      <c r="G20" s="17"/>
      <c r="H20" s="14"/>
      <c r="I20" s="127"/>
      <c r="J20" s="17"/>
      <c r="K20" s="44"/>
      <c r="L20" s="44"/>
      <c r="M20" s="45"/>
    </row>
    <row r="21" spans="1:13" ht="8.25" customHeight="1">
      <c r="B21" s="20"/>
      <c r="C21" s="21"/>
      <c r="D21" s="22"/>
      <c r="E21" s="22"/>
      <c r="F21" s="22"/>
      <c r="G21" s="22"/>
      <c r="H21" s="22"/>
      <c r="I21" s="22"/>
      <c r="J21" s="22"/>
      <c r="K21" s="22"/>
      <c r="L21" s="22"/>
    </row>
    <row r="22" spans="1:13">
      <c r="B22" s="148" t="s">
        <v>23</v>
      </c>
      <c r="C22" s="148"/>
      <c r="D22" s="149" t="s">
        <v>24</v>
      </c>
      <c r="E22" s="149"/>
      <c r="F22" s="149"/>
      <c r="G22" s="149"/>
      <c r="H22" s="149"/>
      <c r="I22" s="47" t="s">
        <v>25</v>
      </c>
      <c r="J22" s="48" t="s">
        <v>26</v>
      </c>
      <c r="K22" s="150" t="s">
        <v>27</v>
      </c>
      <c r="L22" s="150"/>
    </row>
    <row r="23" spans="1:13">
      <c r="B23" s="23" t="s">
        <v>28</v>
      </c>
      <c r="C23" s="23"/>
      <c r="D23" s="151" t="s">
        <v>29</v>
      </c>
      <c r="E23" s="151"/>
      <c r="F23" s="151"/>
      <c r="G23" s="151"/>
      <c r="H23" s="151"/>
      <c r="I23" s="14"/>
      <c r="J23" s="49"/>
      <c r="K23" s="22" t="s">
        <v>30</v>
      </c>
      <c r="L23" s="22"/>
    </row>
    <row r="24" spans="1:13" ht="33.75" customHeight="1">
      <c r="B24" s="23" t="s">
        <v>31</v>
      </c>
      <c r="C24" s="23"/>
      <c r="D24" s="137" t="s">
        <v>32</v>
      </c>
      <c r="E24" s="137"/>
      <c r="F24" s="137"/>
      <c r="G24" s="137"/>
      <c r="H24" s="137"/>
      <c r="I24" s="14"/>
      <c r="J24" s="49"/>
      <c r="K24" s="22" t="s">
        <v>30</v>
      </c>
      <c r="L24" s="22"/>
    </row>
    <row r="25" spans="1:13" ht="18.75" customHeight="1">
      <c r="B25" s="23" t="s">
        <v>33</v>
      </c>
      <c r="C25" s="23"/>
      <c r="D25" s="138" t="s">
        <v>34</v>
      </c>
      <c r="E25" s="139"/>
      <c r="F25" s="139"/>
      <c r="G25" s="139"/>
      <c r="H25" s="140"/>
      <c r="I25" s="14"/>
      <c r="J25" s="49"/>
      <c r="K25" s="22" t="s">
        <v>30</v>
      </c>
      <c r="L25" s="22"/>
    </row>
    <row r="26" spans="1:13" ht="20.25" customHeight="1">
      <c r="B26" s="141" t="s">
        <v>35</v>
      </c>
      <c r="C26" s="142"/>
      <c r="D26" s="137" t="s">
        <v>36</v>
      </c>
      <c r="E26" s="137"/>
      <c r="F26" s="137"/>
      <c r="G26" s="137"/>
      <c r="H26" s="137"/>
      <c r="I26" s="14"/>
      <c r="J26" s="49"/>
      <c r="K26" s="22" t="s">
        <v>30</v>
      </c>
      <c r="L26" s="22"/>
    </row>
    <row r="27" spans="1:13" ht="20.25" customHeight="1">
      <c r="B27" s="143" t="s">
        <v>37</v>
      </c>
      <c r="C27" s="143"/>
      <c r="D27" s="137" t="s">
        <v>38</v>
      </c>
      <c r="E27" s="137"/>
      <c r="F27" s="137"/>
      <c r="G27" s="137"/>
      <c r="H27" s="137"/>
      <c r="I27" s="14"/>
      <c r="J27" s="49"/>
      <c r="K27" s="22" t="s">
        <v>30</v>
      </c>
      <c r="L27" s="22"/>
    </row>
    <row r="28" spans="1:13" ht="7.5" customHeight="1">
      <c r="B28" s="21"/>
      <c r="C28" s="21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6" customHeight="1">
      <c r="B29" s="24"/>
      <c r="C29" s="25"/>
      <c r="D29" s="26"/>
      <c r="E29" s="26"/>
      <c r="F29" s="26"/>
      <c r="G29" s="26"/>
      <c r="H29" s="26"/>
      <c r="I29" s="26"/>
      <c r="J29" s="26"/>
      <c r="K29" s="50"/>
      <c r="L29" s="22"/>
    </row>
    <row r="30" spans="1:13" ht="13.5">
      <c r="B30" s="27" t="s">
        <v>39</v>
      </c>
      <c r="C30" s="28"/>
      <c r="D30" s="29"/>
      <c r="E30" s="29"/>
      <c r="F30" s="29" t="s">
        <v>40</v>
      </c>
      <c r="G30" s="30"/>
      <c r="H30" s="29"/>
      <c r="I30" s="51" t="s">
        <v>41</v>
      </c>
      <c r="J30" s="52"/>
      <c r="K30" s="53"/>
      <c r="L30" s="22"/>
    </row>
    <row r="31" spans="1:13" ht="4.5" customHeight="1">
      <c r="B31" s="31"/>
      <c r="C31" s="32"/>
      <c r="D31" s="33"/>
      <c r="E31" s="33"/>
      <c r="F31" s="33"/>
      <c r="G31" s="33"/>
      <c r="H31" s="33"/>
      <c r="I31" s="54"/>
      <c r="J31" s="33"/>
      <c r="K31" s="55"/>
      <c r="L31" s="22"/>
    </row>
    <row r="32" spans="1:13" ht="8.25" customHeight="1">
      <c r="B32" s="34"/>
      <c r="C32" s="21"/>
      <c r="D32" s="22"/>
      <c r="E32" s="22"/>
      <c r="F32" s="22"/>
      <c r="G32" s="22"/>
      <c r="H32" s="22"/>
      <c r="I32" s="56"/>
      <c r="J32" s="22"/>
      <c r="K32" s="22"/>
      <c r="L32" s="22"/>
    </row>
    <row r="33" spans="2:12">
      <c r="B33" s="35" t="s">
        <v>42</v>
      </c>
      <c r="C33" s="36" t="s">
        <v>43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2:12">
      <c r="B34" s="35" t="s">
        <v>44</v>
      </c>
      <c r="C34" s="36" t="s">
        <v>45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2:12">
      <c r="B35" s="37" t="s">
        <v>46</v>
      </c>
      <c r="C35" s="36" t="s">
        <v>47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2:12">
      <c r="B36" s="21"/>
      <c r="C36" s="21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23.25" customHeight="1">
      <c r="B37" s="38"/>
      <c r="C37" s="21"/>
      <c r="D37" s="22"/>
      <c r="E37" s="22"/>
      <c r="F37" s="22"/>
      <c r="G37" s="22"/>
      <c r="H37" s="22"/>
      <c r="I37" s="22"/>
      <c r="J37" s="22"/>
      <c r="K37" s="22"/>
      <c r="L37" s="22"/>
    </row>
    <row r="38" spans="2:12">
      <c r="B38" s="21"/>
      <c r="C38" s="21"/>
      <c r="D38" s="22"/>
      <c r="E38" s="132" t="s">
        <v>48</v>
      </c>
      <c r="F38" s="132"/>
      <c r="G38" s="22"/>
      <c r="H38" s="132" t="s">
        <v>49</v>
      </c>
      <c r="I38" s="132"/>
      <c r="J38" s="132"/>
      <c r="K38" s="22"/>
      <c r="L38" s="22"/>
    </row>
    <row r="39" spans="2:12">
      <c r="B39" s="21"/>
      <c r="C39" s="21"/>
      <c r="D39" s="22"/>
      <c r="E39" s="22"/>
      <c r="F39" s="22"/>
      <c r="G39" s="22"/>
      <c r="H39" s="22"/>
      <c r="I39" s="22"/>
      <c r="J39" s="22"/>
      <c r="K39" s="22"/>
      <c r="L39" s="22"/>
    </row>
  </sheetData>
  <mergeCells count="26">
    <mergeCell ref="J1:K1"/>
    <mergeCell ref="D2:I2"/>
    <mergeCell ref="J2:K2"/>
    <mergeCell ref="K4:M4"/>
    <mergeCell ref="L1:M2"/>
    <mergeCell ref="K5:M5"/>
    <mergeCell ref="B22:C22"/>
    <mergeCell ref="D22:H22"/>
    <mergeCell ref="K22:L22"/>
    <mergeCell ref="D23:H23"/>
    <mergeCell ref="A1:C2"/>
    <mergeCell ref="E4:F5"/>
    <mergeCell ref="E38:F38"/>
    <mergeCell ref="H38:J38"/>
    <mergeCell ref="A4:A5"/>
    <mergeCell ref="D4:D5"/>
    <mergeCell ref="G4:G5"/>
    <mergeCell ref="B4:C5"/>
    <mergeCell ref="H4:I5"/>
    <mergeCell ref="D24:H24"/>
    <mergeCell ref="D25:H25"/>
    <mergeCell ref="B26:C26"/>
    <mergeCell ref="D26:H26"/>
    <mergeCell ref="B27:C27"/>
    <mergeCell ref="D27:H27"/>
    <mergeCell ref="D1:I1"/>
  </mergeCells>
  <pageMargins left="0.69930555555555596" right="0.55000000000000004" top="0.47152777777777799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38"/>
  <sheetViews>
    <sheetView workbookViewId="0">
      <selection activeCell="D14" sqref="D14"/>
    </sheetView>
  </sheetViews>
  <sheetFormatPr baseColWidth="10" defaultColWidth="11.42578125" defaultRowHeight="12.75"/>
  <cols>
    <col min="1" max="1" width="10.42578125" customWidth="1"/>
    <col min="2" max="2" width="11.28515625" customWidth="1"/>
    <col min="3" max="3" width="10.5703125" customWidth="1"/>
    <col min="12" max="12" width="10" customWidth="1"/>
    <col min="13" max="13" width="9.42578125" customWidth="1"/>
    <col min="14" max="14" width="25.5703125" customWidth="1"/>
  </cols>
  <sheetData>
    <row r="1" spans="1:14" s="1" customFormat="1" ht="24" customHeight="1">
      <c r="A1" s="129"/>
      <c r="B1" s="129"/>
      <c r="C1" s="129"/>
      <c r="D1" s="144" t="s">
        <v>0</v>
      </c>
      <c r="E1" s="145"/>
      <c r="F1" s="145"/>
      <c r="G1" s="145"/>
      <c r="H1" s="145"/>
      <c r="I1" s="145"/>
      <c r="J1" s="152" t="s">
        <v>50</v>
      </c>
      <c r="K1" s="153"/>
      <c r="L1" s="162" t="s">
        <v>51</v>
      </c>
      <c r="M1" s="163"/>
    </row>
    <row r="2" spans="1:14" s="1" customFormat="1" ht="27.75" customHeight="1">
      <c r="A2" s="129"/>
      <c r="B2" s="129"/>
      <c r="C2" s="129"/>
      <c r="D2" s="154" t="s">
        <v>3</v>
      </c>
      <c r="E2" s="155"/>
      <c r="F2" s="155"/>
      <c r="G2" s="155"/>
      <c r="H2" s="155"/>
      <c r="I2" s="155"/>
      <c r="J2" s="156" t="s">
        <v>4</v>
      </c>
      <c r="K2" s="157"/>
      <c r="L2" s="164"/>
      <c r="M2" s="165"/>
    </row>
    <row r="3" spans="1:14" s="1" customFormat="1" ht="13.5" customHeight="1">
      <c r="A3" s="4"/>
      <c r="B3" s="4"/>
      <c r="C3" s="4"/>
      <c r="D3" s="6"/>
      <c r="E3" s="6"/>
      <c r="F3" s="6"/>
      <c r="G3" s="6"/>
      <c r="H3" s="6"/>
      <c r="I3" s="6"/>
      <c r="J3" s="39"/>
      <c r="K3" s="39"/>
      <c r="L3" s="39"/>
      <c r="M3" s="39"/>
    </row>
    <row r="4" spans="1:14" s="1" customFormat="1" ht="33.75" customHeight="1">
      <c r="A4" s="7" t="s">
        <v>5</v>
      </c>
      <c r="B4" s="166">
        <v>45407</v>
      </c>
      <c r="C4" s="167"/>
      <c r="D4" s="8" t="s">
        <v>6</v>
      </c>
      <c r="E4" s="168" t="s">
        <v>52</v>
      </c>
      <c r="F4" s="168"/>
      <c r="G4" s="8" t="s">
        <v>7</v>
      </c>
      <c r="H4" s="168" t="s">
        <v>53</v>
      </c>
      <c r="I4" s="168"/>
      <c r="J4" s="118" t="s">
        <v>8</v>
      </c>
      <c r="K4" s="147" t="s">
        <v>54</v>
      </c>
      <c r="L4" s="147"/>
      <c r="M4" s="147"/>
    </row>
    <row r="5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4" ht="33.75">
      <c r="A6" s="11" t="s">
        <v>10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2" t="s">
        <v>20</v>
      </c>
      <c r="L6" s="12" t="s">
        <v>21</v>
      </c>
      <c r="M6" s="42" t="s">
        <v>22</v>
      </c>
    </row>
    <row r="7" spans="1:14" ht="30">
      <c r="A7" s="13">
        <v>1</v>
      </c>
      <c r="B7" s="102">
        <v>2024</v>
      </c>
      <c r="C7" s="102" t="s">
        <v>55</v>
      </c>
      <c r="D7" s="102" t="s">
        <v>56</v>
      </c>
      <c r="E7" s="103" t="s">
        <v>57</v>
      </c>
      <c r="F7" s="102" t="s">
        <v>58</v>
      </c>
      <c r="G7" s="102" t="s">
        <v>59</v>
      </c>
      <c r="H7" s="102">
        <v>2024</v>
      </c>
      <c r="I7" s="102">
        <v>2027</v>
      </c>
      <c r="J7" s="102">
        <v>2024</v>
      </c>
      <c r="K7" s="102">
        <v>200</v>
      </c>
      <c r="L7" s="102">
        <v>200</v>
      </c>
      <c r="M7" s="119" t="s">
        <v>60</v>
      </c>
      <c r="N7" s="46" t="s">
        <v>61</v>
      </c>
    </row>
    <row r="8" spans="1:14" ht="15">
      <c r="A8" s="13">
        <v>2</v>
      </c>
      <c r="B8" s="19"/>
      <c r="C8" s="104"/>
      <c r="D8" s="104"/>
      <c r="E8" s="105"/>
      <c r="F8" s="104"/>
      <c r="G8" s="104"/>
      <c r="H8" s="104"/>
      <c r="I8" s="104"/>
      <c r="J8" s="104"/>
      <c r="K8" s="105"/>
      <c r="L8" s="105"/>
      <c r="M8" s="120"/>
    </row>
    <row r="9" spans="1:14" ht="15">
      <c r="A9" s="13">
        <v>3</v>
      </c>
      <c r="B9" s="19"/>
      <c r="C9" s="104"/>
      <c r="D9" s="104"/>
      <c r="E9" s="105"/>
      <c r="F9" s="104"/>
      <c r="G9" s="104"/>
      <c r="H9" s="104"/>
      <c r="I9" s="104"/>
      <c r="J9" s="105"/>
      <c r="K9" s="104"/>
      <c r="L9" s="104"/>
      <c r="M9" s="120"/>
    </row>
    <row r="10" spans="1:14" ht="15">
      <c r="A10" s="13">
        <v>4</v>
      </c>
      <c r="B10" s="19"/>
      <c r="C10" s="104"/>
      <c r="D10" s="104"/>
      <c r="E10" s="105"/>
      <c r="F10" s="104"/>
      <c r="G10" s="104"/>
      <c r="H10" s="104"/>
      <c r="I10" s="104"/>
      <c r="J10" s="104"/>
      <c r="K10" s="104"/>
      <c r="L10" s="104"/>
      <c r="M10" s="120"/>
    </row>
    <row r="11" spans="1:14" ht="15">
      <c r="A11" s="13">
        <v>5</v>
      </c>
      <c r="B11" s="19"/>
      <c r="C11" s="104"/>
      <c r="D11" s="104"/>
      <c r="E11" s="105"/>
      <c r="F11" s="104"/>
      <c r="G11" s="104"/>
      <c r="H11" s="104"/>
      <c r="I11" s="104"/>
      <c r="J11" s="104"/>
      <c r="K11" s="104"/>
      <c r="L11" s="104"/>
      <c r="M11" s="120"/>
    </row>
    <row r="12" spans="1:14" ht="15">
      <c r="A12" s="13">
        <v>6</v>
      </c>
      <c r="B12" s="19"/>
      <c r="C12" s="104"/>
      <c r="D12" s="104"/>
      <c r="E12" s="105"/>
      <c r="F12" s="104"/>
      <c r="G12" s="104"/>
      <c r="H12" s="104"/>
      <c r="I12" s="104"/>
      <c r="J12" s="104"/>
      <c r="K12" s="104"/>
      <c r="L12" s="104"/>
      <c r="M12" s="120"/>
    </row>
    <row r="13" spans="1:14" ht="15">
      <c r="A13" s="13">
        <v>7</v>
      </c>
      <c r="B13" s="19"/>
      <c r="C13" s="104"/>
      <c r="D13" s="104"/>
      <c r="E13" s="105"/>
      <c r="F13" s="104"/>
      <c r="G13" s="104"/>
      <c r="H13" s="104"/>
      <c r="I13" s="104"/>
      <c r="J13" s="104"/>
      <c r="K13" s="104"/>
      <c r="L13" s="104"/>
      <c r="M13" s="120"/>
    </row>
    <row r="14" spans="1:14" ht="15">
      <c r="A14" s="13">
        <v>8</v>
      </c>
      <c r="B14" s="19"/>
      <c r="C14" s="104"/>
      <c r="D14" s="104"/>
      <c r="E14" s="105"/>
      <c r="F14" s="104"/>
      <c r="G14" s="104"/>
      <c r="H14" s="104"/>
      <c r="I14" s="104"/>
      <c r="J14" s="104"/>
      <c r="K14" s="104"/>
      <c r="L14" s="104"/>
      <c r="M14" s="120"/>
    </row>
    <row r="15" spans="1:14" ht="15">
      <c r="A15" s="13">
        <v>9</v>
      </c>
      <c r="B15" s="19"/>
      <c r="C15" s="104"/>
      <c r="D15" s="104"/>
      <c r="E15" s="105"/>
      <c r="F15" s="104"/>
      <c r="G15" s="104"/>
      <c r="H15" s="104"/>
      <c r="I15" s="104"/>
      <c r="J15" s="104"/>
      <c r="K15" s="104"/>
      <c r="L15" s="104"/>
      <c r="M15" s="120"/>
    </row>
    <row r="16" spans="1:14" ht="15">
      <c r="A16" s="13">
        <v>10</v>
      </c>
      <c r="B16" s="19"/>
      <c r="C16" s="104"/>
      <c r="D16" s="104"/>
      <c r="E16" s="105"/>
      <c r="F16" s="104"/>
      <c r="G16" s="104"/>
      <c r="H16" s="104"/>
      <c r="I16" s="104"/>
      <c r="J16" s="104"/>
      <c r="K16" s="104"/>
      <c r="L16" s="104"/>
      <c r="M16" s="120"/>
    </row>
    <row r="17" spans="1:13" ht="15">
      <c r="A17" s="13">
        <v>11</v>
      </c>
      <c r="B17" s="19"/>
      <c r="C17" s="104"/>
      <c r="D17" s="104"/>
      <c r="E17" s="105"/>
      <c r="F17" s="104"/>
      <c r="G17" s="104"/>
      <c r="H17" s="104"/>
      <c r="I17" s="104"/>
      <c r="J17" s="104"/>
      <c r="K17" s="104"/>
      <c r="L17" s="104"/>
      <c r="M17" s="120"/>
    </row>
    <row r="18" spans="1:13" ht="15">
      <c r="A18" s="13">
        <v>12</v>
      </c>
      <c r="B18" s="19"/>
      <c r="C18" s="104"/>
      <c r="D18" s="104"/>
      <c r="E18" s="105"/>
      <c r="F18" s="104"/>
      <c r="G18" s="104"/>
      <c r="H18" s="104"/>
      <c r="I18" s="104"/>
      <c r="J18" s="104"/>
      <c r="K18" s="104"/>
      <c r="L18" s="104"/>
      <c r="M18" s="120"/>
    </row>
    <row r="19" spans="1:13" ht="15">
      <c r="A19" s="106">
        <v>13</v>
      </c>
      <c r="B19" s="107"/>
      <c r="C19" s="108"/>
      <c r="D19" s="108"/>
      <c r="E19" s="109"/>
      <c r="F19" s="108"/>
      <c r="G19" s="108"/>
      <c r="H19" s="108"/>
      <c r="I19" s="108"/>
      <c r="J19" s="108"/>
      <c r="K19" s="108"/>
      <c r="L19" s="108"/>
      <c r="M19" s="121"/>
    </row>
    <row r="20" spans="1:13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3">
      <c r="B21" s="148" t="s">
        <v>23</v>
      </c>
      <c r="C21" s="148"/>
      <c r="D21" s="149" t="s">
        <v>24</v>
      </c>
      <c r="E21" s="149"/>
      <c r="F21" s="149"/>
      <c r="G21" s="149"/>
      <c r="H21" s="149"/>
      <c r="I21" s="47" t="s">
        <v>25</v>
      </c>
      <c r="J21" s="48" t="s">
        <v>26</v>
      </c>
      <c r="K21" s="150" t="s">
        <v>27</v>
      </c>
      <c r="L21" s="150"/>
    </row>
    <row r="22" spans="1:13">
      <c r="B22" s="23" t="s">
        <v>28</v>
      </c>
      <c r="C22" s="23"/>
      <c r="D22" s="151" t="s">
        <v>29</v>
      </c>
      <c r="E22" s="151"/>
      <c r="F22" s="151"/>
      <c r="G22" s="151"/>
      <c r="H22" s="151"/>
      <c r="I22" s="49"/>
      <c r="J22" s="49"/>
      <c r="K22" s="22" t="s">
        <v>30</v>
      </c>
      <c r="L22" s="22"/>
    </row>
    <row r="23" spans="1:13" ht="33.75" customHeight="1">
      <c r="B23" s="23" t="s">
        <v>31</v>
      </c>
      <c r="C23" s="23"/>
      <c r="D23" s="137" t="s">
        <v>32</v>
      </c>
      <c r="E23" s="137"/>
      <c r="F23" s="137"/>
      <c r="G23" s="137"/>
      <c r="H23" s="137"/>
      <c r="I23" s="49"/>
      <c r="J23" s="49"/>
      <c r="K23" s="22" t="s">
        <v>30</v>
      </c>
      <c r="L23" s="22"/>
    </row>
    <row r="24" spans="1:13" ht="18.75" customHeight="1">
      <c r="B24" s="23" t="s">
        <v>33</v>
      </c>
      <c r="C24" s="23"/>
      <c r="D24" s="138" t="s">
        <v>34</v>
      </c>
      <c r="E24" s="139"/>
      <c r="F24" s="139"/>
      <c r="G24" s="139"/>
      <c r="H24" s="140"/>
      <c r="I24" s="49"/>
      <c r="J24" s="49"/>
      <c r="K24" s="22" t="s">
        <v>30</v>
      </c>
      <c r="L24" s="22"/>
    </row>
    <row r="25" spans="1:13" ht="20.25" customHeight="1">
      <c r="B25" s="141" t="s">
        <v>35</v>
      </c>
      <c r="C25" s="142"/>
      <c r="D25" s="137" t="s">
        <v>36</v>
      </c>
      <c r="E25" s="137"/>
      <c r="F25" s="137"/>
      <c r="G25" s="137"/>
      <c r="H25" s="137"/>
      <c r="I25" s="49"/>
      <c r="J25" s="49"/>
      <c r="K25" s="22" t="s">
        <v>30</v>
      </c>
      <c r="L25" s="22"/>
    </row>
    <row r="26" spans="1:13" ht="20.25" customHeight="1">
      <c r="B26" s="143" t="s">
        <v>37</v>
      </c>
      <c r="C26" s="143"/>
      <c r="D26" s="137" t="s">
        <v>38</v>
      </c>
      <c r="E26" s="137"/>
      <c r="F26" s="137"/>
      <c r="G26" s="137"/>
      <c r="H26" s="137"/>
      <c r="I26" s="49"/>
      <c r="J26" s="49"/>
      <c r="K26" s="22" t="s">
        <v>30</v>
      </c>
      <c r="L26" s="22"/>
    </row>
    <row r="27" spans="1:13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>
      <c r="B28" s="110"/>
      <c r="C28" s="26"/>
      <c r="D28" s="26"/>
      <c r="E28" s="26"/>
      <c r="F28" s="26"/>
      <c r="G28" s="26"/>
      <c r="H28" s="26"/>
      <c r="I28" s="26"/>
      <c r="J28" s="26"/>
      <c r="K28" s="50"/>
      <c r="L28" s="22"/>
    </row>
    <row r="29" spans="1:13" ht="13.5">
      <c r="B29" s="111" t="s">
        <v>39</v>
      </c>
      <c r="C29" s="29"/>
      <c r="D29" s="29"/>
      <c r="E29" s="29"/>
      <c r="F29" s="29" t="s">
        <v>40</v>
      </c>
      <c r="G29" s="52"/>
      <c r="H29" s="29"/>
      <c r="I29" s="51" t="s">
        <v>41</v>
      </c>
      <c r="J29" s="52"/>
      <c r="K29" s="53"/>
      <c r="L29" s="22"/>
    </row>
    <row r="30" spans="1:13" ht="13.5">
      <c r="B30" s="112"/>
      <c r="C30" s="33"/>
      <c r="D30" s="33"/>
      <c r="E30" s="33"/>
      <c r="F30" s="33"/>
      <c r="G30" s="33"/>
      <c r="H30" s="33"/>
      <c r="I30" s="54"/>
      <c r="J30" s="33"/>
      <c r="K30" s="55"/>
      <c r="L30" s="22"/>
    </row>
    <row r="31" spans="1:13" ht="13.5">
      <c r="B31" s="113"/>
      <c r="C31" s="22"/>
      <c r="D31" s="22"/>
      <c r="E31" s="22"/>
      <c r="F31" s="22"/>
      <c r="G31" s="22"/>
      <c r="H31" s="22"/>
      <c r="I31" s="56"/>
      <c r="J31" s="22"/>
      <c r="K31" s="22"/>
      <c r="L31" s="22"/>
    </row>
    <row r="32" spans="1:13">
      <c r="B32" s="114" t="s">
        <v>42</v>
      </c>
      <c r="C32" s="115" t="s">
        <v>43</v>
      </c>
      <c r="D32" s="22"/>
      <c r="E32" s="22"/>
      <c r="F32" s="22"/>
      <c r="G32" s="22"/>
      <c r="H32" s="22"/>
      <c r="I32" s="22"/>
      <c r="J32" s="22"/>
      <c r="K32" s="22"/>
      <c r="L32" s="22"/>
    </row>
    <row r="33" spans="2:12">
      <c r="B33" s="114" t="s">
        <v>44</v>
      </c>
      <c r="C33" s="115" t="s">
        <v>45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2:12">
      <c r="B34" s="116" t="s">
        <v>46</v>
      </c>
      <c r="C34" s="115" t="s">
        <v>47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2:12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2:12" ht="23.25" customHeight="1">
      <c r="B36" s="117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2:12">
      <c r="B37" s="22"/>
      <c r="C37" s="22"/>
      <c r="D37" s="22"/>
      <c r="E37" s="132" t="s">
        <v>48</v>
      </c>
      <c r="F37" s="132"/>
      <c r="G37" s="22"/>
      <c r="H37" s="132" t="s">
        <v>49</v>
      </c>
      <c r="I37" s="132"/>
      <c r="J37" s="132"/>
      <c r="K37" s="22"/>
      <c r="L37" s="22"/>
    </row>
    <row r="38" spans="2:12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</sheetData>
  <mergeCells count="22">
    <mergeCell ref="D2:I2"/>
    <mergeCell ref="J2:K2"/>
    <mergeCell ref="B4:C4"/>
    <mergeCell ref="E4:F4"/>
    <mergeCell ref="H4:I4"/>
    <mergeCell ref="K4:M4"/>
    <mergeCell ref="E37:F37"/>
    <mergeCell ref="H37:J37"/>
    <mergeCell ref="A1:C2"/>
    <mergeCell ref="L1:M2"/>
    <mergeCell ref="D24:H24"/>
    <mergeCell ref="B25:C25"/>
    <mergeCell ref="D25:H25"/>
    <mergeCell ref="B26:C26"/>
    <mergeCell ref="D26:H26"/>
    <mergeCell ref="B21:C21"/>
    <mergeCell ref="D21:H21"/>
    <mergeCell ref="K21:L21"/>
    <mergeCell ref="D22:H22"/>
    <mergeCell ref="D23:H23"/>
    <mergeCell ref="D1:I1"/>
    <mergeCell ref="J1:K1"/>
  </mergeCells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8"/>
  <sheetViews>
    <sheetView workbookViewId="0">
      <pane xSplit="2" ySplit="2" topLeftCell="C3" activePane="bottomRight" state="frozen"/>
      <selection pane="topRight"/>
      <selection pane="bottomLeft"/>
      <selection pane="bottomRight" activeCell="B27" sqref="B27"/>
    </sheetView>
  </sheetViews>
  <sheetFormatPr baseColWidth="10" defaultColWidth="11" defaultRowHeight="12.75"/>
  <cols>
    <col min="1" max="1" width="6.140625" customWidth="1"/>
    <col min="3" max="3" width="61" customWidth="1"/>
  </cols>
  <sheetData>
    <row r="1" spans="2:3" ht="7.5" customHeight="1"/>
    <row r="2" spans="2:3" ht="25.5" customHeight="1">
      <c r="B2" s="169" t="s">
        <v>62</v>
      </c>
      <c r="C2" s="169"/>
    </row>
    <row r="3" spans="2:3" ht="25.5">
      <c r="B3" s="98" t="s">
        <v>63</v>
      </c>
      <c r="C3" s="99" t="s">
        <v>64</v>
      </c>
    </row>
    <row r="4" spans="2:3" ht="6" customHeight="1"/>
    <row r="5" spans="2:3">
      <c r="B5" s="100" t="s">
        <v>65</v>
      </c>
      <c r="C5" s="1" t="s">
        <v>66</v>
      </c>
    </row>
    <row r="6" spans="2:3">
      <c r="C6" s="1" t="s">
        <v>67</v>
      </c>
    </row>
    <row r="7" spans="2:3">
      <c r="C7">
        <v>2</v>
      </c>
    </row>
    <row r="8" spans="2:3">
      <c r="C8">
        <v>3</v>
      </c>
    </row>
    <row r="9" spans="2:3">
      <c r="C9">
        <v>4</v>
      </c>
    </row>
    <row r="10" spans="2:3">
      <c r="C10">
        <v>5</v>
      </c>
    </row>
    <row r="11" spans="2:3" ht="8.25" customHeight="1"/>
    <row r="12" spans="2:3">
      <c r="B12" s="1" t="s">
        <v>68</v>
      </c>
      <c r="C12" s="1" t="s">
        <v>69</v>
      </c>
    </row>
    <row r="13" spans="2:3">
      <c r="C13">
        <v>1</v>
      </c>
    </row>
    <row r="14" spans="2:3">
      <c r="C14">
        <v>2</v>
      </c>
    </row>
    <row r="15" spans="2:3">
      <c r="C15">
        <v>3</v>
      </c>
    </row>
    <row r="17" spans="2:3">
      <c r="B17" s="1" t="s">
        <v>70</v>
      </c>
      <c r="C17" s="1" t="s">
        <v>71</v>
      </c>
    </row>
    <row r="18" spans="2:3">
      <c r="C18">
        <v>1</v>
      </c>
    </row>
    <row r="19" spans="2:3">
      <c r="C19">
        <v>2</v>
      </c>
    </row>
    <row r="21" spans="2:3">
      <c r="B21" s="1" t="s">
        <v>72</v>
      </c>
      <c r="C21" s="1" t="s">
        <v>73</v>
      </c>
    </row>
    <row r="22" spans="2:3">
      <c r="C22">
        <v>1</v>
      </c>
    </row>
    <row r="23" spans="2:3">
      <c r="C23">
        <v>2</v>
      </c>
    </row>
    <row r="25" spans="2:3">
      <c r="B25" s="1" t="s">
        <v>74</v>
      </c>
      <c r="C25" s="1" t="s">
        <v>75</v>
      </c>
    </row>
    <row r="26" spans="2:3">
      <c r="C26">
        <v>1</v>
      </c>
    </row>
    <row r="28" spans="2:3" ht="51">
      <c r="B28" s="98" t="s">
        <v>76</v>
      </c>
      <c r="C28" s="101" t="s">
        <v>77</v>
      </c>
    </row>
  </sheetData>
  <mergeCells count="1">
    <mergeCell ref="B2:C2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M6"/>
  <sheetViews>
    <sheetView showGridLines="0" zoomScale="115" zoomScaleNormal="115" workbookViewId="0">
      <selection activeCell="I16" sqref="I16"/>
    </sheetView>
  </sheetViews>
  <sheetFormatPr baseColWidth="10" defaultColWidth="11.42578125" defaultRowHeight="12.75"/>
  <sheetData>
    <row r="1" spans="1:13">
      <c r="A1" s="173" t="s">
        <v>78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3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3">
      <c r="A3" s="97" t="s">
        <v>79</v>
      </c>
      <c r="B3" s="176" t="s">
        <v>80</v>
      </c>
      <c r="C3" s="177"/>
      <c r="D3" s="177"/>
      <c r="E3" s="177"/>
      <c r="F3" s="177"/>
      <c r="G3" s="177"/>
      <c r="H3" s="177"/>
      <c r="I3" s="177"/>
      <c r="J3" s="177"/>
      <c r="K3" s="177"/>
      <c r="L3" s="178"/>
      <c r="M3" s="7" t="s">
        <v>81</v>
      </c>
    </row>
    <row r="4" spans="1:13">
      <c r="A4" s="3">
        <v>1</v>
      </c>
      <c r="B4" s="170" t="s">
        <v>82</v>
      </c>
      <c r="C4" s="171"/>
      <c r="D4" s="171"/>
      <c r="E4" s="171"/>
      <c r="F4" s="171"/>
      <c r="G4" s="171"/>
      <c r="H4" s="171"/>
      <c r="I4" s="171"/>
      <c r="J4" s="171"/>
      <c r="K4" s="171"/>
      <c r="L4" s="172"/>
      <c r="M4" s="3" t="s">
        <v>83</v>
      </c>
    </row>
    <row r="5" spans="1:13">
      <c r="A5" s="3"/>
      <c r="B5" s="170"/>
      <c r="C5" s="171"/>
      <c r="D5" s="171"/>
      <c r="E5" s="171"/>
      <c r="F5" s="171"/>
      <c r="G5" s="171"/>
      <c r="H5" s="171"/>
      <c r="I5" s="171"/>
      <c r="J5" s="171"/>
      <c r="K5" s="171"/>
      <c r="L5" s="172"/>
      <c r="M5" s="3"/>
    </row>
    <row r="6" spans="1:13">
      <c r="A6" s="3"/>
      <c r="B6" s="170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3"/>
    </row>
  </sheetData>
  <mergeCells count="6">
    <mergeCell ref="B6:L6"/>
    <mergeCell ref="A1:M1"/>
    <mergeCell ref="A2:M2"/>
    <mergeCell ref="B3:L3"/>
    <mergeCell ref="B4:L4"/>
    <mergeCell ref="B5:L5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2:E6"/>
  <sheetViews>
    <sheetView workbookViewId="0">
      <selection activeCell="C6" sqref="C6"/>
    </sheetView>
  </sheetViews>
  <sheetFormatPr baseColWidth="10" defaultColWidth="11.42578125" defaultRowHeight="12.75"/>
  <cols>
    <col min="1" max="1" width="6" style="2" customWidth="1"/>
    <col min="2" max="2" width="12.5703125" style="2" customWidth="1"/>
    <col min="3" max="3" width="23.140625" style="2" customWidth="1"/>
    <col min="4" max="4" width="35.42578125" style="2" customWidth="1"/>
    <col min="5" max="5" width="31" style="2" customWidth="1"/>
    <col min="6" max="16384" width="11.42578125" style="2"/>
  </cols>
  <sheetData>
    <row r="2" spans="2:5" ht="30" customHeight="1">
      <c r="B2" s="93"/>
      <c r="C2" s="94" t="s">
        <v>84</v>
      </c>
      <c r="D2" s="94" t="s">
        <v>85</v>
      </c>
      <c r="E2" s="94" t="s">
        <v>86</v>
      </c>
    </row>
    <row r="3" spans="2:5" ht="30" customHeight="1">
      <c r="B3" s="95" t="s">
        <v>87</v>
      </c>
      <c r="C3" s="96" t="s">
        <v>88</v>
      </c>
      <c r="D3" s="96" t="s">
        <v>89</v>
      </c>
      <c r="E3" s="96" t="s">
        <v>90</v>
      </c>
    </row>
    <row r="4" spans="2:5" ht="30" customHeight="1">
      <c r="B4" s="95" t="s">
        <v>91</v>
      </c>
      <c r="C4" s="96" t="s">
        <v>92</v>
      </c>
      <c r="D4" s="96" t="s">
        <v>93</v>
      </c>
      <c r="E4" s="96" t="s">
        <v>90</v>
      </c>
    </row>
    <row r="5" spans="2:5" ht="30" customHeight="1">
      <c r="B5" s="95" t="s">
        <v>91</v>
      </c>
      <c r="C5" s="96" t="s">
        <v>94</v>
      </c>
      <c r="D5" s="96" t="s">
        <v>95</v>
      </c>
      <c r="E5" s="96" t="s">
        <v>90</v>
      </c>
    </row>
    <row r="6" spans="2:5" ht="30" customHeight="1">
      <c r="B6" s="95" t="s">
        <v>96</v>
      </c>
      <c r="C6" s="96" t="s">
        <v>97</v>
      </c>
      <c r="D6" s="96" t="s">
        <v>98</v>
      </c>
      <c r="E6" s="96" t="s">
        <v>90</v>
      </c>
    </row>
  </sheetData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M40"/>
  <sheetViews>
    <sheetView tabSelected="1" view="pageBreakPreview" topLeftCell="A12" zoomScaleNormal="100" zoomScaleSheetLayoutView="100" workbookViewId="0">
      <selection activeCell="D16" sqref="D16"/>
    </sheetView>
  </sheetViews>
  <sheetFormatPr baseColWidth="10" defaultColWidth="11.42578125" defaultRowHeight="12.75"/>
  <cols>
    <col min="1" max="1" width="10.42578125" customWidth="1"/>
    <col min="2" max="2" width="13.28515625" style="2" customWidth="1"/>
    <col min="3" max="3" width="44.140625" style="2" customWidth="1"/>
    <col min="4" max="4" width="13.42578125" customWidth="1"/>
    <col min="5" max="5" width="13.7109375" customWidth="1"/>
    <col min="7" max="7" width="12.28515625" customWidth="1"/>
    <col min="8" max="8" width="15.42578125" customWidth="1"/>
    <col min="9" max="9" width="12.5703125" customWidth="1"/>
    <col min="10" max="10" width="15.5703125" customWidth="1"/>
    <col min="11" max="11" width="14" customWidth="1"/>
    <col min="12" max="12" width="11.5703125" customWidth="1"/>
    <col min="13" max="13" width="12.42578125" customWidth="1"/>
    <col min="14" max="14" width="25.5703125" customWidth="1"/>
  </cols>
  <sheetData>
    <row r="1" spans="1:13" s="1" customFormat="1" ht="24" customHeight="1">
      <c r="A1" s="129"/>
      <c r="B1" s="130"/>
      <c r="C1" s="130"/>
      <c r="D1" s="144" t="s">
        <v>0</v>
      </c>
      <c r="E1" s="145"/>
      <c r="F1" s="145"/>
      <c r="G1" s="145"/>
      <c r="H1" s="145"/>
      <c r="I1" s="145"/>
      <c r="J1" s="152" t="s">
        <v>1</v>
      </c>
      <c r="K1" s="153"/>
      <c r="L1" s="158" t="s">
        <v>2</v>
      </c>
      <c r="M1" s="159"/>
    </row>
    <row r="2" spans="1:13" s="1" customFormat="1" ht="27.75" customHeight="1">
      <c r="A2" s="129"/>
      <c r="B2" s="130"/>
      <c r="C2" s="130"/>
      <c r="D2" s="154" t="s">
        <v>3</v>
      </c>
      <c r="E2" s="155"/>
      <c r="F2" s="155"/>
      <c r="G2" s="155"/>
      <c r="H2" s="155"/>
      <c r="I2" s="155"/>
      <c r="J2" s="156" t="s">
        <v>4</v>
      </c>
      <c r="K2" s="157"/>
      <c r="L2" s="160"/>
      <c r="M2" s="161"/>
    </row>
    <row r="3" spans="1:13" s="1" customFormat="1" ht="8.25" customHeight="1">
      <c r="A3" s="4"/>
      <c r="B3" s="5"/>
      <c r="C3" s="5"/>
      <c r="D3" s="6"/>
      <c r="E3" s="6"/>
      <c r="F3" s="6"/>
      <c r="G3" s="6"/>
      <c r="H3" s="6"/>
      <c r="I3" s="6"/>
      <c r="J3" s="39"/>
      <c r="K3" s="39"/>
      <c r="L3" s="39"/>
      <c r="M3" s="39"/>
    </row>
    <row r="4" spans="1:13" s="1" customFormat="1" ht="26.25" customHeight="1">
      <c r="A4" s="133" t="s">
        <v>5</v>
      </c>
      <c r="B4" s="179"/>
      <c r="C4" s="179"/>
      <c r="D4" s="134" t="s">
        <v>6</v>
      </c>
      <c r="E4" s="180" t="s">
        <v>99</v>
      </c>
      <c r="F4" s="180"/>
      <c r="G4" s="134" t="s">
        <v>7</v>
      </c>
      <c r="H4" s="180" t="s">
        <v>100</v>
      </c>
      <c r="I4" s="180"/>
      <c r="J4" s="40" t="s">
        <v>8</v>
      </c>
      <c r="K4" s="181"/>
      <c r="L4" s="182"/>
      <c r="M4" s="182"/>
    </row>
    <row r="5" spans="1:13" s="1" customFormat="1" ht="30" customHeight="1">
      <c r="A5" s="133"/>
      <c r="B5" s="179"/>
      <c r="C5" s="179"/>
      <c r="D5" s="134"/>
      <c r="E5" s="180"/>
      <c r="F5" s="180"/>
      <c r="G5" s="134"/>
      <c r="H5" s="180"/>
      <c r="I5" s="180"/>
      <c r="J5" s="41" t="s">
        <v>9</v>
      </c>
      <c r="K5" s="181"/>
      <c r="L5" s="182"/>
      <c r="M5" s="182"/>
    </row>
    <row r="6" spans="1:13" ht="8.25" customHeight="1">
      <c r="A6" s="9"/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33.75">
      <c r="A7" s="57" t="s">
        <v>10</v>
      </c>
      <c r="B7" s="58" t="s">
        <v>11</v>
      </c>
      <c r="C7" s="58" t="s">
        <v>12</v>
      </c>
      <c r="D7" s="58" t="s">
        <v>13</v>
      </c>
      <c r="E7" s="58" t="s">
        <v>14</v>
      </c>
      <c r="F7" s="58" t="s">
        <v>15</v>
      </c>
      <c r="G7" s="58" t="s">
        <v>16</v>
      </c>
      <c r="H7" s="58" t="s">
        <v>17</v>
      </c>
      <c r="I7" s="58" t="s">
        <v>18</v>
      </c>
      <c r="J7" s="58" t="s">
        <v>19</v>
      </c>
      <c r="K7" s="58" t="s">
        <v>20</v>
      </c>
      <c r="L7" s="58" t="s">
        <v>21</v>
      </c>
      <c r="M7" s="76" t="s">
        <v>22</v>
      </c>
    </row>
    <row r="8" spans="1:13" ht="24.95" customHeight="1">
      <c r="A8" s="19"/>
      <c r="B8" s="59"/>
      <c r="C8" s="15"/>
      <c r="D8" s="16"/>
      <c r="E8" s="16"/>
      <c r="F8" s="17"/>
      <c r="G8" s="17"/>
      <c r="H8" s="16"/>
      <c r="I8" s="16"/>
      <c r="J8" s="17"/>
      <c r="K8" s="16"/>
      <c r="L8" s="16"/>
      <c r="M8" s="77"/>
    </row>
    <row r="9" spans="1:13" ht="24.95" customHeight="1">
      <c r="A9" s="19"/>
      <c r="B9" s="59"/>
      <c r="C9" s="15"/>
      <c r="D9" s="16"/>
      <c r="E9" s="16"/>
      <c r="F9" s="17"/>
      <c r="G9" s="17"/>
      <c r="H9" s="16"/>
      <c r="I9" s="16"/>
      <c r="J9" s="17"/>
      <c r="K9" s="16"/>
      <c r="L9" s="16"/>
      <c r="M9" s="77"/>
    </row>
    <row r="10" spans="1:13" ht="24.95" customHeight="1">
      <c r="A10" s="19"/>
      <c r="B10" s="59"/>
      <c r="C10" s="15"/>
      <c r="D10" s="16"/>
      <c r="E10" s="16"/>
      <c r="F10" s="17"/>
      <c r="G10" s="17"/>
      <c r="H10" s="16"/>
      <c r="I10" s="16"/>
      <c r="J10" s="17"/>
      <c r="K10" s="16"/>
      <c r="L10" s="16"/>
      <c r="M10" s="77"/>
    </row>
    <row r="11" spans="1:13" ht="24.95" customHeight="1">
      <c r="A11" s="19"/>
      <c r="B11" s="59"/>
      <c r="C11" s="15"/>
      <c r="D11" s="16"/>
      <c r="E11" s="16"/>
      <c r="F11" s="17"/>
      <c r="G11" s="17"/>
      <c r="H11" s="16"/>
      <c r="I11" s="16"/>
      <c r="J11" s="17"/>
      <c r="K11" s="16"/>
      <c r="L11" s="16"/>
      <c r="M11" s="77"/>
    </row>
    <row r="12" spans="1:13" ht="29.1" customHeight="1">
      <c r="A12" s="19"/>
      <c r="B12" s="59"/>
      <c r="C12" s="15"/>
      <c r="D12" s="16"/>
      <c r="E12" s="16"/>
      <c r="F12" s="17"/>
      <c r="G12" s="17"/>
      <c r="H12" s="16"/>
      <c r="I12" s="16"/>
      <c r="J12" s="17"/>
      <c r="K12" s="16"/>
      <c r="L12" s="16"/>
      <c r="M12" s="77"/>
    </row>
    <row r="13" spans="1:13" ht="24.95" customHeight="1">
      <c r="A13" s="19"/>
      <c r="B13" s="59"/>
      <c r="C13" s="15"/>
      <c r="D13" s="16"/>
      <c r="E13" s="16"/>
      <c r="F13" s="17"/>
      <c r="G13" s="17"/>
      <c r="H13" s="16"/>
      <c r="I13" s="16"/>
      <c r="J13" s="17"/>
      <c r="K13" s="16"/>
      <c r="L13" s="16"/>
      <c r="M13" s="77"/>
    </row>
    <row r="14" spans="1:13" ht="24.95" customHeight="1">
      <c r="A14" s="19"/>
      <c r="B14" s="59"/>
      <c r="C14" s="15"/>
      <c r="D14" s="16"/>
      <c r="E14" s="16"/>
      <c r="F14" s="17"/>
      <c r="G14" s="17"/>
      <c r="H14" s="16"/>
      <c r="I14" s="16"/>
      <c r="J14" s="17"/>
      <c r="K14" s="16"/>
      <c r="L14" s="16"/>
      <c r="M14" s="77"/>
    </row>
    <row r="15" spans="1:13" ht="24.95" customHeight="1">
      <c r="A15" s="19"/>
      <c r="B15" s="59"/>
      <c r="C15" s="15"/>
      <c r="D15" s="16"/>
      <c r="E15" s="16"/>
      <c r="F15" s="17"/>
      <c r="G15" s="17"/>
      <c r="H15" s="16"/>
      <c r="I15" s="16"/>
      <c r="J15" s="17"/>
      <c r="K15" s="16"/>
      <c r="L15" s="16"/>
      <c r="M15" s="77"/>
    </row>
    <row r="16" spans="1:13" ht="24.95" customHeight="1">
      <c r="A16" s="19"/>
      <c r="B16" s="59"/>
      <c r="C16" s="15"/>
      <c r="D16" s="16"/>
      <c r="E16" s="16"/>
      <c r="F16" s="17"/>
      <c r="G16" s="17"/>
      <c r="H16" s="16"/>
      <c r="I16" s="16"/>
      <c r="J16" s="17"/>
      <c r="K16" s="16"/>
      <c r="L16" s="16"/>
      <c r="M16" s="77"/>
    </row>
    <row r="17" spans="1:13" ht="24.95" customHeight="1">
      <c r="A17" s="19"/>
      <c r="B17" s="59"/>
      <c r="C17" s="15"/>
      <c r="D17" s="16"/>
      <c r="E17" s="16"/>
      <c r="F17" s="17"/>
      <c r="G17" s="17"/>
      <c r="H17" s="16"/>
      <c r="I17" s="16"/>
      <c r="J17" s="17"/>
      <c r="K17" s="16"/>
      <c r="L17" s="16"/>
      <c r="M17" s="77"/>
    </row>
    <row r="18" spans="1:13" ht="24.95" customHeight="1">
      <c r="A18" s="19"/>
      <c r="B18" s="59"/>
      <c r="C18" s="15"/>
      <c r="D18" s="16"/>
      <c r="E18" s="16"/>
      <c r="F18" s="17"/>
      <c r="G18" s="17"/>
      <c r="H18" s="16"/>
      <c r="I18" s="16"/>
      <c r="J18" s="17"/>
      <c r="K18" s="16"/>
      <c r="L18" s="16"/>
      <c r="M18" s="77"/>
    </row>
    <row r="19" spans="1:13" ht="24.95" customHeight="1">
      <c r="A19" s="19"/>
      <c r="B19" s="59"/>
      <c r="C19" s="15"/>
      <c r="D19" s="16"/>
      <c r="E19" s="16"/>
      <c r="F19" s="17"/>
      <c r="G19" s="17"/>
      <c r="H19" s="16"/>
      <c r="I19" s="16"/>
      <c r="J19" s="17"/>
      <c r="K19" s="16"/>
      <c r="L19" s="16"/>
      <c r="M19" s="77"/>
    </row>
    <row r="20" spans="1:13" ht="24.95" customHeight="1">
      <c r="A20" s="19"/>
      <c r="B20" s="59"/>
      <c r="C20" s="15"/>
      <c r="D20" s="16"/>
      <c r="E20" s="16"/>
      <c r="F20" s="17"/>
      <c r="G20" s="17"/>
      <c r="H20" s="16"/>
      <c r="I20" s="16"/>
      <c r="J20" s="17"/>
      <c r="K20" s="16"/>
      <c r="L20" s="16"/>
      <c r="M20" s="77"/>
    </row>
    <row r="21" spans="1:13" ht="26.1" customHeight="1">
      <c r="A21" s="19"/>
      <c r="B21" s="59"/>
      <c r="C21" s="15"/>
      <c r="D21" s="16"/>
      <c r="E21" s="16"/>
      <c r="F21" s="17"/>
      <c r="G21" s="17"/>
      <c r="H21" s="16"/>
      <c r="I21" s="16"/>
      <c r="J21" s="17"/>
      <c r="K21" s="16"/>
      <c r="L21" s="16"/>
      <c r="M21" s="77"/>
    </row>
    <row r="22" spans="1:13" ht="6.95" customHeight="1">
      <c r="A22" s="60"/>
      <c r="B22" s="61"/>
      <c r="C22" s="62"/>
      <c r="D22" s="63"/>
      <c r="E22" s="63"/>
      <c r="F22" s="64"/>
      <c r="G22" s="64"/>
      <c r="H22" s="63"/>
      <c r="I22" s="78"/>
      <c r="J22" s="79"/>
      <c r="K22" s="80"/>
      <c r="L22" s="80"/>
      <c r="M22" s="81"/>
    </row>
    <row r="23" spans="1:13">
      <c r="B23" s="149" t="s">
        <v>23</v>
      </c>
      <c r="C23" s="149"/>
      <c r="D23" s="149" t="s">
        <v>24</v>
      </c>
      <c r="E23" s="149"/>
      <c r="F23" s="149"/>
      <c r="G23" s="149"/>
      <c r="H23" s="149"/>
      <c r="I23" s="82" t="s">
        <v>25</v>
      </c>
      <c r="J23" s="82" t="s">
        <v>26</v>
      </c>
      <c r="K23" s="183" t="s">
        <v>101</v>
      </c>
      <c r="L23" s="183"/>
      <c r="M23" s="183"/>
    </row>
    <row r="24" spans="1:13">
      <c r="B24" s="23" t="s">
        <v>28</v>
      </c>
      <c r="C24" s="23"/>
      <c r="D24" s="151" t="s">
        <v>29</v>
      </c>
      <c r="E24" s="151"/>
      <c r="F24" s="151"/>
      <c r="G24" s="151"/>
      <c r="H24" s="151"/>
      <c r="I24" s="14" t="s">
        <v>102</v>
      </c>
      <c r="J24" s="49"/>
      <c r="K24" s="183"/>
      <c r="L24" s="183"/>
      <c r="M24" s="183"/>
    </row>
    <row r="25" spans="1:13" ht="33.75" customHeight="1">
      <c r="B25" s="23" t="s">
        <v>31</v>
      </c>
      <c r="C25" s="23"/>
      <c r="D25" s="137" t="s">
        <v>32</v>
      </c>
      <c r="E25" s="137"/>
      <c r="F25" s="137"/>
      <c r="G25" s="137"/>
      <c r="H25" s="137"/>
      <c r="I25" s="14" t="s">
        <v>102</v>
      </c>
      <c r="J25" s="49"/>
      <c r="K25" s="183"/>
      <c r="L25" s="183"/>
      <c r="M25" s="183"/>
    </row>
    <row r="26" spans="1:13" ht="18.75" customHeight="1">
      <c r="B26" s="23" t="s">
        <v>33</v>
      </c>
      <c r="C26" s="23"/>
      <c r="D26" s="137" t="s">
        <v>34</v>
      </c>
      <c r="E26" s="137"/>
      <c r="F26" s="137"/>
      <c r="G26" s="137"/>
      <c r="H26" s="137"/>
      <c r="I26" s="14" t="s">
        <v>102</v>
      </c>
      <c r="J26" s="49"/>
      <c r="K26" s="183"/>
      <c r="L26" s="183"/>
      <c r="M26" s="183"/>
    </row>
    <row r="27" spans="1:13" ht="20.25" customHeight="1">
      <c r="B27" s="143" t="s">
        <v>35</v>
      </c>
      <c r="C27" s="143"/>
      <c r="D27" s="137" t="s">
        <v>36</v>
      </c>
      <c r="E27" s="137"/>
      <c r="F27" s="137"/>
      <c r="G27" s="137"/>
      <c r="H27" s="137"/>
      <c r="I27" s="83"/>
      <c r="J27" s="49"/>
      <c r="K27" s="183"/>
      <c r="L27" s="183"/>
      <c r="M27" s="183"/>
    </row>
    <row r="28" spans="1:13" ht="20.25" customHeight="1">
      <c r="B28" s="143" t="s">
        <v>37</v>
      </c>
      <c r="C28" s="143"/>
      <c r="D28" s="137" t="s">
        <v>38</v>
      </c>
      <c r="E28" s="137"/>
      <c r="F28" s="137"/>
      <c r="G28" s="137"/>
      <c r="H28" s="137"/>
      <c r="I28" s="14" t="s">
        <v>102</v>
      </c>
      <c r="J28" s="49"/>
      <c r="K28" s="183"/>
      <c r="L28" s="183"/>
      <c r="M28" s="183"/>
    </row>
    <row r="29" spans="1:13" ht="12" customHeight="1">
      <c r="B29" s="65"/>
      <c r="C29" s="65"/>
      <c r="D29" s="66"/>
      <c r="E29" s="66"/>
      <c r="F29" s="66"/>
      <c r="G29" s="66"/>
      <c r="H29" s="66"/>
      <c r="I29" s="20"/>
      <c r="J29" s="22"/>
      <c r="K29" s="22"/>
      <c r="L29" s="22"/>
    </row>
    <row r="30" spans="1:13" ht="6" customHeight="1">
      <c r="B30" s="67"/>
      <c r="C30" s="68"/>
      <c r="D30" s="69"/>
      <c r="E30" s="69"/>
      <c r="F30" s="69"/>
      <c r="G30" s="69"/>
      <c r="H30" s="69"/>
      <c r="I30" s="84"/>
      <c r="J30" s="85"/>
      <c r="K30" s="85"/>
      <c r="L30" s="86"/>
    </row>
    <row r="31" spans="1:13" ht="20.25" customHeight="1">
      <c r="B31" s="70" t="s">
        <v>106</v>
      </c>
      <c r="C31" s="71"/>
      <c r="D31" s="71"/>
      <c r="E31" s="71"/>
      <c r="F31" s="71"/>
      <c r="G31" s="71" t="s">
        <v>40</v>
      </c>
      <c r="H31" s="72"/>
      <c r="J31" s="87" t="s">
        <v>41</v>
      </c>
      <c r="K31" s="88"/>
      <c r="L31" s="89"/>
    </row>
    <row r="32" spans="1:13" ht="6.95" customHeight="1">
      <c r="B32" s="73"/>
      <c r="C32" s="74"/>
      <c r="D32" s="75"/>
      <c r="E32" s="75"/>
      <c r="F32" s="75"/>
      <c r="G32" s="75"/>
      <c r="H32" s="75"/>
      <c r="I32" s="90"/>
      <c r="J32" s="91"/>
      <c r="K32" s="91"/>
      <c r="L32" s="92"/>
    </row>
    <row r="33" spans="2:12" ht="8.25" customHeight="1">
      <c r="B33" s="34"/>
      <c r="C33" s="21"/>
      <c r="D33" s="22"/>
      <c r="E33" s="22"/>
      <c r="F33" s="22"/>
      <c r="G33" s="22"/>
      <c r="H33" s="22"/>
      <c r="I33" s="56"/>
      <c r="J33" s="22"/>
      <c r="K33" s="22"/>
      <c r="L33" s="22"/>
    </row>
    <row r="34" spans="2:12">
      <c r="B34" s="35" t="s">
        <v>42</v>
      </c>
      <c r="C34" s="36" t="s">
        <v>43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2:12">
      <c r="B35" s="35" t="s">
        <v>44</v>
      </c>
      <c r="C35" s="36" t="s">
        <v>45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2:12">
      <c r="B36" s="37" t="s">
        <v>46</v>
      </c>
      <c r="C36" s="36" t="s">
        <v>47</v>
      </c>
      <c r="D36" s="22"/>
      <c r="E36" s="22"/>
      <c r="F36" s="22"/>
      <c r="G36" s="22"/>
      <c r="H36" s="22"/>
      <c r="I36" s="22"/>
      <c r="J36" s="22"/>
      <c r="K36" s="22"/>
      <c r="L36" s="22"/>
    </row>
    <row r="37" spans="2:12">
      <c r="B37" s="21"/>
      <c r="C37" s="21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23.25" customHeight="1">
      <c r="B38" s="38"/>
      <c r="C38" s="21"/>
      <c r="D38" s="22"/>
      <c r="E38" s="22"/>
      <c r="F38" s="22"/>
      <c r="G38" s="22"/>
      <c r="H38" s="22"/>
      <c r="I38" s="22"/>
      <c r="J38" s="22"/>
      <c r="K38" s="22"/>
      <c r="L38" s="22"/>
    </row>
    <row r="39" spans="2:12">
      <c r="B39" s="21"/>
      <c r="C39" s="21"/>
      <c r="D39" s="22"/>
      <c r="E39" s="132" t="s">
        <v>48</v>
      </c>
      <c r="F39" s="132"/>
      <c r="G39" s="22"/>
      <c r="H39" s="132" t="s">
        <v>49</v>
      </c>
      <c r="I39" s="132"/>
      <c r="J39" s="132"/>
      <c r="K39" s="22"/>
      <c r="L39" s="22"/>
    </row>
    <row r="40" spans="2:12">
      <c r="B40" s="21"/>
      <c r="C40" s="21"/>
      <c r="D40" s="22"/>
      <c r="E40" s="22"/>
      <c r="F40" s="22"/>
      <c r="G40" s="22"/>
      <c r="H40" s="22"/>
      <c r="I40" s="22"/>
      <c r="J40" s="22"/>
      <c r="K40" s="22"/>
      <c r="L40" s="22"/>
    </row>
  </sheetData>
  <mergeCells count="31">
    <mergeCell ref="B23:C23"/>
    <mergeCell ref="D23:H23"/>
    <mergeCell ref="K23:M23"/>
    <mergeCell ref="D24:H24"/>
    <mergeCell ref="K24:M24"/>
    <mergeCell ref="D25:H25"/>
    <mergeCell ref="K25:M25"/>
    <mergeCell ref="D26:H26"/>
    <mergeCell ref="K26:M26"/>
    <mergeCell ref="B27:C27"/>
    <mergeCell ref="D27:H27"/>
    <mergeCell ref="K27:M27"/>
    <mergeCell ref="B28:C28"/>
    <mergeCell ref="D28:H28"/>
    <mergeCell ref="K28:M28"/>
    <mergeCell ref="E39:F39"/>
    <mergeCell ref="H39:J39"/>
    <mergeCell ref="A4:A5"/>
    <mergeCell ref="D4:D5"/>
    <mergeCell ref="G4:G5"/>
    <mergeCell ref="A1:C2"/>
    <mergeCell ref="L1:M2"/>
    <mergeCell ref="B4:C5"/>
    <mergeCell ref="H4:I5"/>
    <mergeCell ref="E4:F5"/>
    <mergeCell ref="K5:M5"/>
    <mergeCell ref="D1:I1"/>
    <mergeCell ref="J1:K1"/>
    <mergeCell ref="D2:I2"/>
    <mergeCell ref="J2:K2"/>
    <mergeCell ref="K4:M4"/>
  </mergeCells>
  <pageMargins left="0.69930555555555596" right="0.55000000000000004" top="0.47152777777777799" bottom="0.75" header="0.3" footer="0.3"/>
  <pageSetup paperSize="9" scale="6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39"/>
  <sheetViews>
    <sheetView view="pageBreakPreview" zoomScaleNormal="100" zoomScaleSheetLayoutView="100" workbookViewId="0">
      <selection activeCell="K15" sqref="K15"/>
    </sheetView>
  </sheetViews>
  <sheetFormatPr baseColWidth="10" defaultColWidth="11.42578125" defaultRowHeight="12.75"/>
  <cols>
    <col min="1" max="1" width="10.42578125" customWidth="1"/>
    <col min="2" max="2" width="14.28515625" style="2" customWidth="1"/>
    <col min="3" max="3" width="47.5703125" style="2" customWidth="1"/>
    <col min="7" max="7" width="12.28515625" customWidth="1"/>
    <col min="8" max="8" width="17.140625" customWidth="1"/>
    <col min="9" max="9" width="12.5703125" customWidth="1"/>
    <col min="10" max="10" width="15.5703125" customWidth="1"/>
    <col min="11" max="11" width="14" customWidth="1"/>
    <col min="12" max="12" width="11.5703125" customWidth="1"/>
    <col min="13" max="13" width="12.42578125" customWidth="1"/>
    <col min="14" max="14" width="25.5703125" customWidth="1"/>
  </cols>
  <sheetData>
    <row r="1" spans="1:14" s="1" customFormat="1" ht="24" customHeight="1">
      <c r="A1" s="129"/>
      <c r="B1" s="130"/>
      <c r="C1" s="130"/>
      <c r="D1" s="144" t="s">
        <v>0</v>
      </c>
      <c r="E1" s="145"/>
      <c r="F1" s="145"/>
      <c r="G1" s="145"/>
      <c r="H1" s="145"/>
      <c r="I1" s="145"/>
      <c r="J1" s="152" t="s">
        <v>1</v>
      </c>
      <c r="K1" s="153"/>
      <c r="L1" s="158" t="s">
        <v>2</v>
      </c>
      <c r="M1" s="159"/>
    </row>
    <row r="2" spans="1:14" s="1" customFormat="1" ht="27.75" customHeight="1">
      <c r="A2" s="129"/>
      <c r="B2" s="130"/>
      <c r="C2" s="130"/>
      <c r="D2" s="154" t="s">
        <v>3</v>
      </c>
      <c r="E2" s="155"/>
      <c r="F2" s="155"/>
      <c r="G2" s="155"/>
      <c r="H2" s="155"/>
      <c r="I2" s="155"/>
      <c r="J2" s="156" t="s">
        <v>4</v>
      </c>
      <c r="K2" s="157"/>
      <c r="L2" s="160"/>
      <c r="M2" s="161"/>
    </row>
    <row r="3" spans="1:14" s="1" customFormat="1" ht="8.25" customHeight="1">
      <c r="A3" s="4"/>
      <c r="B3" s="5"/>
      <c r="C3" s="5"/>
      <c r="D3" s="6"/>
      <c r="E3" s="6"/>
      <c r="F3" s="6"/>
      <c r="G3" s="6"/>
      <c r="H3" s="6"/>
      <c r="I3" s="6"/>
      <c r="J3" s="39"/>
      <c r="K3" s="39"/>
      <c r="L3" s="39"/>
      <c r="M3" s="39"/>
    </row>
    <row r="4" spans="1:14" s="1" customFormat="1" ht="33" customHeight="1">
      <c r="A4" s="133" t="s">
        <v>5</v>
      </c>
      <c r="B4" s="135"/>
      <c r="C4" s="136"/>
      <c r="D4" s="134" t="s">
        <v>6</v>
      </c>
      <c r="E4" s="131" t="s">
        <v>103</v>
      </c>
      <c r="F4" s="131"/>
      <c r="G4" s="134" t="s">
        <v>7</v>
      </c>
      <c r="H4" s="131" t="s">
        <v>100</v>
      </c>
      <c r="I4" s="131"/>
      <c r="J4" s="40" t="s">
        <v>8</v>
      </c>
      <c r="K4" s="184"/>
      <c r="L4" s="185"/>
      <c r="M4" s="185"/>
    </row>
    <row r="5" spans="1:14" s="1" customFormat="1" ht="21" customHeight="1">
      <c r="A5" s="133"/>
      <c r="B5" s="136"/>
      <c r="C5" s="136"/>
      <c r="D5" s="134"/>
      <c r="E5" s="131"/>
      <c r="F5" s="131"/>
      <c r="G5" s="134"/>
      <c r="H5" s="131"/>
      <c r="I5" s="131"/>
      <c r="J5" s="41" t="s">
        <v>9</v>
      </c>
      <c r="K5" s="146"/>
      <c r="L5" s="147"/>
      <c r="M5" s="147"/>
    </row>
    <row r="6" spans="1:14" ht="8.25" customHeight="1">
      <c r="A6" s="9"/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4" ht="33.75">
      <c r="A7" s="11" t="s">
        <v>10</v>
      </c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2" t="s">
        <v>17</v>
      </c>
      <c r="I7" s="12" t="s">
        <v>18</v>
      </c>
      <c r="J7" s="12" t="s">
        <v>19</v>
      </c>
      <c r="K7" s="12" t="s">
        <v>20</v>
      </c>
      <c r="L7" s="12" t="s">
        <v>21</v>
      </c>
      <c r="M7" s="42" t="s">
        <v>22</v>
      </c>
    </row>
    <row r="8" spans="1:14" ht="24.95" customHeight="1">
      <c r="A8" s="13">
        <v>1</v>
      </c>
      <c r="B8" s="14"/>
      <c r="C8" s="15" t="e">
        <f>VLOOKUP(B8,#REF!,3,FALSE)</f>
        <v>#REF!</v>
      </c>
      <c r="D8" s="15" t="s">
        <v>104</v>
      </c>
      <c r="E8" s="16" t="e">
        <f>VLOOKUP(B8,#REF!,6,FALSE)</f>
        <v>#REF!</v>
      </c>
      <c r="F8" s="17" t="e">
        <f>VLOOKUP(B8,#REF!,4)</f>
        <v>#REF!</v>
      </c>
      <c r="G8" s="17" t="e">
        <f>VLOOKUP(B8,#REF!,9,FALSE)</f>
        <v>#REF!</v>
      </c>
      <c r="H8" s="14"/>
      <c r="I8" s="43"/>
      <c r="J8" s="17" t="e">
        <f>VLOOKUP(B8,#REF!,12,FALSE)</f>
        <v>#REF!</v>
      </c>
      <c r="K8" s="44"/>
      <c r="L8" s="44"/>
      <c r="M8" s="45" t="s">
        <v>105</v>
      </c>
      <c r="N8" s="46"/>
    </row>
    <row r="9" spans="1:14" ht="24.95" customHeight="1">
      <c r="A9" s="13">
        <v>2</v>
      </c>
      <c r="B9" s="14"/>
      <c r="C9" s="15" t="e">
        <f>VLOOKUP(B9,#REF!,3,FALSE)</f>
        <v>#REF!</v>
      </c>
      <c r="D9" s="15" t="s">
        <v>104</v>
      </c>
      <c r="E9" s="16" t="e">
        <f>VLOOKUP(B9,#REF!,6,FALSE)</f>
        <v>#REF!</v>
      </c>
      <c r="F9" s="17" t="e">
        <f>VLOOKUP(B9,#REF!,4)</f>
        <v>#REF!</v>
      </c>
      <c r="G9" s="17" t="e">
        <f>VLOOKUP(B9,#REF!,9,FALSE)</f>
        <v>#REF!</v>
      </c>
      <c r="H9" s="14"/>
      <c r="I9" s="43"/>
      <c r="J9" s="17" t="e">
        <f>VLOOKUP(B9,#REF!,12,FALSE)</f>
        <v>#REF!</v>
      </c>
      <c r="K9" s="44"/>
      <c r="L9" s="44"/>
      <c r="M9" s="45" t="s">
        <v>105</v>
      </c>
    </row>
    <row r="10" spans="1:14" ht="24.95" customHeight="1">
      <c r="A10" s="13">
        <v>3</v>
      </c>
      <c r="B10" s="14"/>
      <c r="C10" s="15" t="e">
        <f>VLOOKUP(B10,#REF!,3,FALSE)</f>
        <v>#REF!</v>
      </c>
      <c r="D10" s="15"/>
      <c r="E10" s="16" t="e">
        <f>VLOOKUP(B10,#REF!,6,FALSE)</f>
        <v>#REF!</v>
      </c>
      <c r="F10" s="17" t="e">
        <f>VLOOKUP(B10,#REF!,4)</f>
        <v>#REF!</v>
      </c>
      <c r="G10" s="17" t="e">
        <f>VLOOKUP(B10,#REF!,9,FALSE)</f>
        <v>#REF!</v>
      </c>
      <c r="H10" s="14"/>
      <c r="I10" s="43"/>
      <c r="J10" s="17" t="e">
        <f>VLOOKUP(B10,#REF!,12,FALSE)</f>
        <v>#REF!</v>
      </c>
      <c r="K10" s="44"/>
      <c r="L10" s="44"/>
      <c r="M10" s="45" t="s">
        <v>105</v>
      </c>
    </row>
    <row r="11" spans="1:14" ht="24.95" customHeight="1">
      <c r="A11" s="13">
        <v>4</v>
      </c>
      <c r="B11" s="14"/>
      <c r="C11" s="15" t="e">
        <f>VLOOKUP(B11,#REF!,3,FALSE)</f>
        <v>#REF!</v>
      </c>
      <c r="D11" s="15"/>
      <c r="E11" s="16" t="e">
        <f>VLOOKUP(B11,#REF!,6,FALSE)</f>
        <v>#REF!</v>
      </c>
      <c r="F11" s="17" t="e">
        <f>VLOOKUP(B11,#REF!,4)</f>
        <v>#REF!</v>
      </c>
      <c r="G11" s="17" t="e">
        <f>VLOOKUP(B11,#REF!,9,FALSE)</f>
        <v>#REF!</v>
      </c>
      <c r="H11" s="14"/>
      <c r="I11" s="43"/>
      <c r="J11" s="17" t="e">
        <f>VLOOKUP(B11,#REF!,12,FALSE)</f>
        <v>#REF!</v>
      </c>
      <c r="K11" s="44"/>
      <c r="L11" s="44"/>
      <c r="M11" s="45" t="s">
        <v>105</v>
      </c>
    </row>
    <row r="12" spans="1:14" ht="24.95" customHeight="1">
      <c r="A12" s="13">
        <v>5</v>
      </c>
      <c r="B12" s="14"/>
      <c r="C12" s="15" t="e">
        <f>VLOOKUP(B12,#REF!,3,FALSE)</f>
        <v>#REF!</v>
      </c>
      <c r="D12" s="15"/>
      <c r="E12" s="16" t="e">
        <f>VLOOKUP(B12,#REF!,6,FALSE)</f>
        <v>#REF!</v>
      </c>
      <c r="F12" s="17" t="e">
        <f>VLOOKUP(B12,#REF!,4)</f>
        <v>#REF!</v>
      </c>
      <c r="G12" s="17" t="e">
        <f>VLOOKUP(B12,#REF!,9,FALSE)</f>
        <v>#REF!</v>
      </c>
      <c r="H12" s="14"/>
      <c r="I12" s="43"/>
      <c r="J12" s="17" t="e">
        <f>VLOOKUP(B12,#REF!,12,FALSE)</f>
        <v>#REF!</v>
      </c>
      <c r="K12" s="44"/>
      <c r="L12" s="44"/>
      <c r="M12" s="45" t="s">
        <v>105</v>
      </c>
    </row>
    <row r="13" spans="1:14" ht="29.1" customHeight="1">
      <c r="A13" s="13">
        <v>6</v>
      </c>
      <c r="B13" s="14"/>
      <c r="C13" s="15" t="e">
        <f>VLOOKUP(B13,#REF!,3,FALSE)</f>
        <v>#REF!</v>
      </c>
      <c r="D13" s="18"/>
      <c r="E13" s="16" t="e">
        <f>VLOOKUP(B13,#REF!,6,FALSE)</f>
        <v>#REF!</v>
      </c>
      <c r="F13" s="17" t="e">
        <f>VLOOKUP(B13,#REF!,4)</f>
        <v>#REF!</v>
      </c>
      <c r="G13" s="17" t="e">
        <f>VLOOKUP(B13,#REF!,9,FALSE)</f>
        <v>#REF!</v>
      </c>
      <c r="H13" s="14"/>
      <c r="I13" s="43"/>
      <c r="J13" s="17" t="e">
        <f>VLOOKUP(B13,#REF!,12,FALSE)</f>
        <v>#REF!</v>
      </c>
      <c r="K13" s="44"/>
      <c r="L13" s="44"/>
      <c r="M13" s="45" t="s">
        <v>105</v>
      </c>
    </row>
    <row r="14" spans="1:14" ht="24.95" customHeight="1">
      <c r="A14" s="13">
        <v>7</v>
      </c>
      <c r="B14" s="14"/>
      <c r="C14" s="15" t="e">
        <f>VLOOKUP(B14,#REF!,3,FALSE)</f>
        <v>#REF!</v>
      </c>
      <c r="D14" s="18"/>
      <c r="E14" s="16" t="e">
        <f>VLOOKUP(B14,#REF!,6,FALSE)</f>
        <v>#REF!</v>
      </c>
      <c r="F14" s="17" t="e">
        <f>VLOOKUP(B14,#REF!,4)</f>
        <v>#REF!</v>
      </c>
      <c r="G14" s="17" t="e">
        <f>VLOOKUP(B14,#REF!,9,FALSE)</f>
        <v>#REF!</v>
      </c>
      <c r="H14" s="14"/>
      <c r="I14" s="43"/>
      <c r="J14" s="17" t="e">
        <f>VLOOKUP(B14,#REF!,12,FALSE)</f>
        <v>#REF!</v>
      </c>
      <c r="K14" s="44"/>
      <c r="L14" s="44"/>
      <c r="M14" s="45" t="s">
        <v>105</v>
      </c>
    </row>
    <row r="15" spans="1:14" ht="24.95" customHeight="1">
      <c r="A15" s="19">
        <v>8</v>
      </c>
      <c r="B15" s="14"/>
      <c r="C15" s="15" t="e">
        <f>VLOOKUP(B15,#REF!,3,FALSE)</f>
        <v>#REF!</v>
      </c>
      <c r="D15" s="18"/>
      <c r="E15" s="16" t="e">
        <f>VLOOKUP(B15,#REF!,6,FALSE)</f>
        <v>#REF!</v>
      </c>
      <c r="F15" s="17" t="e">
        <f>VLOOKUP(B15,#REF!,4)</f>
        <v>#REF!</v>
      </c>
      <c r="G15" s="17" t="e">
        <f>VLOOKUP(B15,#REF!,9,FALSE)</f>
        <v>#REF!</v>
      </c>
      <c r="H15" s="14"/>
      <c r="I15" s="43"/>
      <c r="J15" s="17" t="e">
        <f>VLOOKUP(B15,#REF!,12,FALSE)</f>
        <v>#REF!</v>
      </c>
      <c r="K15" s="44"/>
      <c r="L15" s="44"/>
      <c r="M15" s="45" t="s">
        <v>105</v>
      </c>
    </row>
    <row r="16" spans="1:14" ht="24.95" customHeight="1">
      <c r="A16" s="19">
        <v>9</v>
      </c>
      <c r="B16" s="14"/>
      <c r="C16" s="15" t="e">
        <f>VLOOKUP(B16,#REF!,3,FALSE)</f>
        <v>#REF!</v>
      </c>
      <c r="D16" s="18"/>
      <c r="E16" s="16" t="e">
        <f>VLOOKUP(B16,#REF!,6,FALSE)</f>
        <v>#REF!</v>
      </c>
      <c r="F16" s="17" t="e">
        <f>VLOOKUP(B16,#REF!,4)</f>
        <v>#REF!</v>
      </c>
      <c r="G16" s="17" t="e">
        <f>VLOOKUP(B16,#REF!,9,FALSE)</f>
        <v>#REF!</v>
      </c>
      <c r="H16" s="14"/>
      <c r="I16" s="43"/>
      <c r="J16" s="17" t="e">
        <f>VLOOKUP(B16,#REF!,12,FALSE)</f>
        <v>#REF!</v>
      </c>
      <c r="K16" s="44"/>
      <c r="L16" s="44"/>
      <c r="M16" s="45"/>
    </row>
    <row r="17" spans="1:13" ht="24.95" customHeight="1">
      <c r="A17" s="19">
        <v>10</v>
      </c>
      <c r="B17" s="14"/>
      <c r="C17" s="15" t="e">
        <f>VLOOKUP(B17,#REF!,3,FALSE)</f>
        <v>#REF!</v>
      </c>
      <c r="D17" s="18"/>
      <c r="E17" s="16" t="e">
        <f>VLOOKUP(B17,#REF!,6,FALSE)</f>
        <v>#REF!</v>
      </c>
      <c r="F17" s="17" t="e">
        <f>VLOOKUP(B17,#REF!,4)</f>
        <v>#REF!</v>
      </c>
      <c r="G17" s="17" t="e">
        <f>VLOOKUP(B17,#REF!,9,FALSE)</f>
        <v>#REF!</v>
      </c>
      <c r="H17" s="14"/>
      <c r="I17" s="43"/>
      <c r="J17" s="17" t="e">
        <f>VLOOKUP(B17,#REF!,12,FALSE)</f>
        <v>#REF!</v>
      </c>
      <c r="K17" s="44"/>
      <c r="L17" s="44"/>
      <c r="M17" s="45"/>
    </row>
    <row r="18" spans="1:13" ht="24.95" customHeight="1">
      <c r="A18" s="19">
        <v>11</v>
      </c>
      <c r="B18" s="14"/>
      <c r="C18" s="15" t="e">
        <f>VLOOKUP(B18,#REF!,3,FALSE)</f>
        <v>#REF!</v>
      </c>
      <c r="D18" s="18"/>
      <c r="E18" s="16" t="e">
        <f>VLOOKUP(B18,#REF!,6,FALSE)</f>
        <v>#REF!</v>
      </c>
      <c r="F18" s="17" t="e">
        <f>VLOOKUP(B18,#REF!,4)</f>
        <v>#REF!</v>
      </c>
      <c r="G18" s="17" t="e">
        <f>VLOOKUP(B18,#REF!,9,FALSE)</f>
        <v>#REF!</v>
      </c>
      <c r="H18" s="14"/>
      <c r="I18" s="43"/>
      <c r="J18" s="17" t="e">
        <f>VLOOKUP(B18,#REF!,12,FALSE)</f>
        <v>#REF!</v>
      </c>
      <c r="K18" s="44"/>
      <c r="L18" s="44"/>
      <c r="M18" s="45"/>
    </row>
    <row r="19" spans="1:13" ht="24.95" customHeight="1">
      <c r="A19" s="19">
        <v>12</v>
      </c>
      <c r="B19" s="14"/>
      <c r="C19" s="15" t="e">
        <f>VLOOKUP(B19,#REF!,3,FALSE)</f>
        <v>#REF!</v>
      </c>
      <c r="D19" s="18"/>
      <c r="E19" s="16" t="e">
        <f>VLOOKUP(B19,#REF!,6,FALSE)</f>
        <v>#REF!</v>
      </c>
      <c r="F19" s="17" t="e">
        <f>VLOOKUP(B19,#REF!,4)</f>
        <v>#REF!</v>
      </c>
      <c r="G19" s="17" t="e">
        <f>VLOOKUP(B19,#REF!,9,FALSE)</f>
        <v>#REF!</v>
      </c>
      <c r="H19" s="14"/>
      <c r="I19" s="43"/>
      <c r="J19" s="17" t="e">
        <f>VLOOKUP(B19,#REF!,12,FALSE)</f>
        <v>#REF!</v>
      </c>
      <c r="K19" s="44"/>
      <c r="L19" s="44"/>
      <c r="M19" s="45"/>
    </row>
    <row r="20" spans="1:13" ht="24.95" customHeight="1">
      <c r="A20" s="19">
        <v>13</v>
      </c>
      <c r="B20" s="14"/>
      <c r="C20" s="15" t="e">
        <f>VLOOKUP(B20,#REF!,3,FALSE)</f>
        <v>#REF!</v>
      </c>
      <c r="D20" s="18"/>
      <c r="E20" s="16" t="e">
        <f>VLOOKUP(B20,#REF!,6,FALSE)</f>
        <v>#REF!</v>
      </c>
      <c r="F20" s="17" t="e">
        <f>VLOOKUP(B20,#REF!,4)</f>
        <v>#REF!</v>
      </c>
      <c r="G20" s="17" t="e">
        <f>VLOOKUP(B20,#REF!,9,FALSE)</f>
        <v>#REF!</v>
      </c>
      <c r="H20" s="14"/>
      <c r="I20" s="43"/>
      <c r="J20" s="17" t="e">
        <f>VLOOKUP(B20,#REF!,12,FALSE)</f>
        <v>#REF!</v>
      </c>
      <c r="K20" s="44"/>
      <c r="L20" s="44"/>
      <c r="M20" s="45"/>
    </row>
    <row r="21" spans="1:13" ht="8.25" customHeight="1">
      <c r="B21" s="20"/>
      <c r="C21" s="21"/>
      <c r="D21" s="22"/>
      <c r="E21" s="22"/>
      <c r="F21" s="22"/>
      <c r="G21" s="22"/>
      <c r="H21" s="22"/>
      <c r="I21" s="22"/>
      <c r="J21" s="22"/>
      <c r="K21" s="22"/>
      <c r="L21" s="22"/>
    </row>
    <row r="22" spans="1:13">
      <c r="B22" s="148" t="s">
        <v>23</v>
      </c>
      <c r="C22" s="148"/>
      <c r="D22" s="149" t="s">
        <v>24</v>
      </c>
      <c r="E22" s="149"/>
      <c r="F22" s="149"/>
      <c r="G22" s="149"/>
      <c r="H22" s="149"/>
      <c r="I22" s="47" t="s">
        <v>25</v>
      </c>
      <c r="J22" s="48" t="s">
        <v>26</v>
      </c>
      <c r="K22" s="150" t="s">
        <v>27</v>
      </c>
      <c r="L22" s="150"/>
    </row>
    <row r="23" spans="1:13">
      <c r="B23" s="23" t="s">
        <v>28</v>
      </c>
      <c r="C23" s="23"/>
      <c r="D23" s="151" t="s">
        <v>29</v>
      </c>
      <c r="E23" s="151"/>
      <c r="F23" s="151"/>
      <c r="G23" s="151"/>
      <c r="H23" s="151"/>
      <c r="I23" s="14" t="s">
        <v>102</v>
      </c>
      <c r="J23" s="49"/>
      <c r="K23" s="22" t="s">
        <v>30</v>
      </c>
      <c r="L23" s="22"/>
    </row>
    <row r="24" spans="1:13" ht="33.75" customHeight="1">
      <c r="B24" s="23" t="s">
        <v>31</v>
      </c>
      <c r="C24" s="23"/>
      <c r="D24" s="137" t="s">
        <v>32</v>
      </c>
      <c r="E24" s="137"/>
      <c r="F24" s="137"/>
      <c r="G24" s="137"/>
      <c r="H24" s="137"/>
      <c r="I24" s="14" t="s">
        <v>102</v>
      </c>
      <c r="J24" s="49"/>
      <c r="K24" s="22" t="s">
        <v>30</v>
      </c>
      <c r="L24" s="22"/>
    </row>
    <row r="25" spans="1:13" ht="18.75" customHeight="1">
      <c r="B25" s="23" t="s">
        <v>33</v>
      </c>
      <c r="C25" s="23"/>
      <c r="D25" s="138" t="s">
        <v>34</v>
      </c>
      <c r="E25" s="139"/>
      <c r="F25" s="139"/>
      <c r="G25" s="139"/>
      <c r="H25" s="140"/>
      <c r="I25" s="14" t="s">
        <v>102</v>
      </c>
      <c r="J25" s="49"/>
      <c r="K25" s="22" t="s">
        <v>30</v>
      </c>
      <c r="L25" s="22"/>
    </row>
    <row r="26" spans="1:13" ht="20.25" customHeight="1">
      <c r="B26" s="141" t="s">
        <v>35</v>
      </c>
      <c r="C26" s="142"/>
      <c r="D26" s="137" t="s">
        <v>36</v>
      </c>
      <c r="E26" s="137"/>
      <c r="F26" s="137"/>
      <c r="G26" s="137"/>
      <c r="H26" s="137"/>
      <c r="I26" s="14" t="s">
        <v>104</v>
      </c>
      <c r="J26" s="49"/>
      <c r="K26" s="22" t="s">
        <v>30</v>
      </c>
      <c r="L26" s="22"/>
    </row>
    <row r="27" spans="1:13" ht="20.25" customHeight="1">
      <c r="B27" s="143" t="s">
        <v>37</v>
      </c>
      <c r="C27" s="143"/>
      <c r="D27" s="137" t="s">
        <v>38</v>
      </c>
      <c r="E27" s="137"/>
      <c r="F27" s="137"/>
      <c r="G27" s="137"/>
      <c r="H27" s="137"/>
      <c r="I27" s="14" t="s">
        <v>102</v>
      </c>
      <c r="J27" s="49"/>
      <c r="K27" s="22" t="s">
        <v>30</v>
      </c>
      <c r="L27" s="22"/>
    </row>
    <row r="28" spans="1:13" ht="7.5" customHeight="1">
      <c r="B28" s="21"/>
      <c r="C28" s="21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6" customHeight="1">
      <c r="B29" s="24"/>
      <c r="C29" s="25"/>
      <c r="D29" s="26"/>
      <c r="E29" s="26"/>
      <c r="F29" s="26"/>
      <c r="G29" s="26"/>
      <c r="H29" s="26"/>
      <c r="I29" s="26"/>
      <c r="J29" s="26"/>
      <c r="K29" s="50"/>
      <c r="L29" s="22"/>
    </row>
    <row r="30" spans="1:13" ht="13.5">
      <c r="B30" s="27" t="s">
        <v>39</v>
      </c>
      <c r="C30" s="28"/>
      <c r="D30" s="29"/>
      <c r="E30" s="29"/>
      <c r="F30" s="29" t="s">
        <v>40</v>
      </c>
      <c r="G30" s="30" t="s">
        <v>102</v>
      </c>
      <c r="H30" s="29"/>
      <c r="I30" s="51" t="s">
        <v>41</v>
      </c>
      <c r="J30" s="52"/>
      <c r="K30" s="53"/>
      <c r="L30" s="22"/>
    </row>
    <row r="31" spans="1:13" ht="4.5" customHeight="1">
      <c r="B31" s="31"/>
      <c r="C31" s="32"/>
      <c r="D31" s="33"/>
      <c r="E31" s="33"/>
      <c r="F31" s="33"/>
      <c r="G31" s="33"/>
      <c r="H31" s="33"/>
      <c r="I31" s="54"/>
      <c r="J31" s="33"/>
      <c r="K31" s="55"/>
      <c r="L31" s="22"/>
    </row>
    <row r="32" spans="1:13" ht="8.25" customHeight="1">
      <c r="B32" s="34"/>
      <c r="C32" s="21"/>
      <c r="D32" s="22"/>
      <c r="E32" s="22"/>
      <c r="F32" s="22"/>
      <c r="G32" s="22"/>
      <c r="H32" s="22"/>
      <c r="I32" s="56"/>
      <c r="J32" s="22"/>
      <c r="K32" s="22"/>
      <c r="L32" s="22"/>
    </row>
    <row r="33" spans="2:12">
      <c r="B33" s="35" t="s">
        <v>42</v>
      </c>
      <c r="C33" s="36" t="s">
        <v>43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2:12">
      <c r="B34" s="35" t="s">
        <v>44</v>
      </c>
      <c r="C34" s="36" t="s">
        <v>45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2:12">
      <c r="B35" s="37" t="s">
        <v>46</v>
      </c>
      <c r="C35" s="36" t="s">
        <v>47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2:12">
      <c r="B36" s="21"/>
      <c r="C36" s="21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23.25" customHeight="1">
      <c r="B37" s="38"/>
      <c r="C37" s="21"/>
      <c r="D37" s="22"/>
      <c r="E37" s="22"/>
      <c r="F37" s="22"/>
      <c r="G37" s="22"/>
      <c r="H37" s="22"/>
      <c r="I37" s="22"/>
      <c r="J37" s="22"/>
      <c r="K37" s="22"/>
      <c r="L37" s="22"/>
    </row>
    <row r="38" spans="2:12">
      <c r="B38" s="21"/>
      <c r="C38" s="21"/>
      <c r="D38" s="22"/>
      <c r="E38" s="132" t="s">
        <v>48</v>
      </c>
      <c r="F38" s="132"/>
      <c r="G38" s="22"/>
      <c r="H38" s="132" t="s">
        <v>49</v>
      </c>
      <c r="I38" s="132"/>
      <c r="J38" s="132"/>
      <c r="K38" s="22"/>
      <c r="L38" s="22"/>
    </row>
    <row r="39" spans="2:12">
      <c r="B39" s="21"/>
      <c r="C39" s="21"/>
      <c r="D39" s="22"/>
      <c r="E39" s="22"/>
      <c r="F39" s="22"/>
      <c r="G39" s="22"/>
      <c r="H39" s="22"/>
      <c r="I39" s="22"/>
      <c r="J39" s="22"/>
      <c r="K39" s="22"/>
      <c r="L39" s="22"/>
    </row>
  </sheetData>
  <mergeCells count="26">
    <mergeCell ref="K22:L22"/>
    <mergeCell ref="D23:H23"/>
    <mergeCell ref="D1:I1"/>
    <mergeCell ref="J1:K1"/>
    <mergeCell ref="D2:I2"/>
    <mergeCell ref="J2:K2"/>
    <mergeCell ref="K4:M4"/>
    <mergeCell ref="E38:F38"/>
    <mergeCell ref="H38:J38"/>
    <mergeCell ref="A4:A5"/>
    <mergeCell ref="D4:D5"/>
    <mergeCell ref="G4:G5"/>
    <mergeCell ref="D24:H24"/>
    <mergeCell ref="D25:H25"/>
    <mergeCell ref="B26:C26"/>
    <mergeCell ref="D26:H26"/>
    <mergeCell ref="B27:C27"/>
    <mergeCell ref="D27:H27"/>
    <mergeCell ref="B22:C22"/>
    <mergeCell ref="D22:H22"/>
    <mergeCell ref="A1:C2"/>
    <mergeCell ref="L1:M2"/>
    <mergeCell ref="B4:C5"/>
    <mergeCell ref="H4:I5"/>
    <mergeCell ref="E4:F5"/>
    <mergeCell ref="K5:M5"/>
  </mergeCells>
  <pageMargins left="0.69930555555555596" right="0.55000000000000004" top="0.47152777777777799" bottom="0.75" header="0.3" footer="0.3"/>
  <pageSetup paperSize="9" scale="6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691E1B67328344A8F08418295AA19C" ma:contentTypeVersion="15" ma:contentTypeDescription="Crear nuevo documento." ma:contentTypeScope="" ma:versionID="ab86fed5ccf26f81d51aec68b4fa7ccf">
  <xsd:schema xmlns:xsd="http://www.w3.org/2001/XMLSchema" xmlns:xs="http://www.w3.org/2001/XMLSchema" xmlns:p="http://schemas.microsoft.com/office/2006/metadata/properties" xmlns:ns2="aad0aece-c981-4b89-a803-2f896e063ddb" xmlns:ns3="8f0fc023-c4d6-4905-bc30-8a70d99e109b" targetNamespace="http://schemas.microsoft.com/office/2006/metadata/properties" ma:root="true" ma:fieldsID="a0b7b5d5ec636b6887eaf3c6122f4db2" ns2:_="" ns3:_="">
    <xsd:import namespace="aad0aece-c981-4b89-a803-2f896e063ddb"/>
    <xsd:import namespace="8f0fc023-c4d6-4905-bc30-8a70d99e1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0aece-c981-4b89-a803-2f896e063d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9367f07-3d8d-4a66-829b-a21c7b06c8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fc023-c4d6-4905-bc30-8a70d99e1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8bc0cd6-c8d7-4c3c-af69-31d4fc6756f0}" ma:internalName="TaxCatchAll" ma:showField="CatchAllData" ma:web="8f0fc023-c4d6-4905-bc30-8a70d99e1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d0aece-c981-4b89-a803-2f896e063ddb">
      <Terms xmlns="http://schemas.microsoft.com/office/infopath/2007/PartnerControls"/>
    </lcf76f155ced4ddcb4097134ff3c332f>
    <TaxCatchAll xmlns="8f0fc023-c4d6-4905-bc30-8a70d99e109b" xsi:nil="true"/>
  </documentManagement>
</p:properties>
</file>

<file path=customXml/itemProps1.xml><?xml version="1.0" encoding="utf-8"?>
<ds:datastoreItem xmlns:ds="http://schemas.openxmlformats.org/officeDocument/2006/customXml" ds:itemID="{BDD2196C-A178-4684-BE22-5104E8E6697E}">
  <ds:schemaRefs/>
</ds:datastoreItem>
</file>

<file path=customXml/itemProps2.xml><?xml version="1.0" encoding="utf-8"?>
<ds:datastoreItem xmlns:ds="http://schemas.openxmlformats.org/officeDocument/2006/customXml" ds:itemID="{D0692CE3-35D8-400A-AECE-F2C6BE81ABB2}">
  <ds:schemaRefs/>
</ds:datastoreItem>
</file>

<file path=customXml/itemProps3.xml><?xml version="1.0" encoding="utf-8"?>
<ds:datastoreItem xmlns:ds="http://schemas.openxmlformats.org/officeDocument/2006/customXml" ds:itemID="{F046D026-991B-49F4-AE46-112385085F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FORMATO</vt:lpstr>
      <vt:lpstr>EJEMPLO</vt:lpstr>
      <vt:lpstr>CARACTERISTICAS A VERIFICAR</vt:lpstr>
      <vt:lpstr>CONTROL DE CAMBIOS</vt:lpstr>
      <vt:lpstr>FLUJO DE APROBACION</vt:lpstr>
      <vt:lpstr>FOR-FAR-099 OLT</vt:lpstr>
      <vt:lpstr>FOR-FAR-099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Baltodano Quispe</dc:creator>
  <cp:lastModifiedBy>Josué Daniel Pérez Astete</cp:lastModifiedBy>
  <cp:lastPrinted>2024-05-02T14:40:00Z</cp:lastPrinted>
  <dcterms:created xsi:type="dcterms:W3CDTF">2016-11-29T15:45:00Z</dcterms:created>
  <dcterms:modified xsi:type="dcterms:W3CDTF">2026-04-06T09:56:14Z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0x010100E3691E1B67328344A8F08418295AA19C</vt:lpwstr>
  </property>
  <property fmtid="{D5CDD505-2E9C-101B-9397-08002B2CF9AE}" pid="3" name="KSOProductBuildVer">
    <vt:lpwstr>3082-10.2.0.7456</vt:lpwstr>
  </property>
  <property fmtid="{D5CDD505-2E9C-101B-9397-08002B2CF9AE}" pid="4" name="ICV">
    <vt:lpwstr>DE716031DB094C998848603BF92462C4_12</vt:lpwstr>
  </property>
</Properties>
</file>