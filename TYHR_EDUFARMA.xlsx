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TEMP Y HR\"/>
    </mc:Choice>
  </mc:AlternateContent>
  <xr:revisionPtr revIDLastSave="0" documentId="13_ncr:1_{43D9BF2A-2F55-4AD0-846C-A8E47E73C564}" xr6:coauthVersionLast="47" xr6:coauthVersionMax="47" xr10:uidLastSave="{00000000-0000-0000-0000-000000000000}"/>
  <bookViews>
    <workbookView xWindow="-90" yWindow="-90" windowWidth="19380" windowHeight="10260" tabRatio="500" xr2:uid="{00000000-000D-0000-FFFF-FFFF00000000}"/>
  </bookViews>
  <sheets>
    <sheet name="T° AMBIENTAL" sheetId="1" r:id="rId1"/>
    <sheet name="REFRIGERADOS" sheetId="2" state="hidden" r:id="rId2"/>
  </sheets>
  <definedNames>
    <definedName name="_xlnm.Print_Area" localSheetId="1">REFRIGERADOS!$B$1:$O$51</definedName>
    <definedName name="_xlnm.Print_Area" localSheetId="0">'T° AMBIENTAL'!$A$1:$L$49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39" i="2" l="1"/>
  <c r="N39" i="2"/>
  <c r="M39" i="2"/>
  <c r="L39" i="2"/>
  <c r="K39" i="2"/>
  <c r="J39" i="2"/>
  <c r="I39" i="2"/>
  <c r="H39" i="2"/>
  <c r="G39" i="2"/>
  <c r="F39" i="2"/>
  <c r="E39" i="2"/>
  <c r="D39" i="2"/>
  <c r="C39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32" i="2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C18" i="2"/>
  <c r="D18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</calcChain>
</file>

<file path=xl/sharedStrings.xml><?xml version="1.0" encoding="utf-8"?>
<sst xmlns="http://schemas.openxmlformats.org/spreadsheetml/2006/main" count="95" uniqueCount="64">
  <si>
    <t xml:space="preserve"> </t>
  </si>
  <si>
    <t>FRIOS QUESOS</t>
  </si>
  <si>
    <t>ENERO</t>
  </si>
  <si>
    <t>KEOPS</t>
  </si>
  <si>
    <t>CÓDIGO</t>
  </si>
  <si>
    <t>FOR-BPA-018</t>
  </si>
  <si>
    <t>EDUFARMA S.R.L.</t>
  </si>
  <si>
    <t>VERSIÓN</t>
  </si>
  <si>
    <t>EMISIÓN</t>
  </si>
  <si>
    <t>SECOS</t>
  </si>
  <si>
    <t>FEBRERO</t>
  </si>
  <si>
    <t>VICTORIA</t>
  </si>
  <si>
    <t>PÁGINA</t>
  </si>
  <si>
    <t>1/1.</t>
  </si>
  <si>
    <t>FRIOS CHOCOLATES-VINOS</t>
  </si>
  <si>
    <t>MARZO</t>
  </si>
  <si>
    <t>LIDER</t>
  </si>
  <si>
    <t>CONTROL DE TEMPERATURA Y HUMEDAD RELATIVA</t>
  </si>
  <si>
    <t>ABRIL</t>
  </si>
  <si>
    <t>ELITE</t>
  </si>
  <si>
    <t xml:space="preserve">MES   : </t>
  </si>
  <si>
    <t>Código:</t>
  </si>
  <si>
    <t>JUNIO</t>
  </si>
  <si>
    <t>JULIO</t>
  </si>
  <si>
    <t>DIA</t>
  </si>
  <si>
    <t>PRIMERA LECTURA</t>
  </si>
  <si>
    <t>RESPONS.</t>
  </si>
  <si>
    <t>SEGUNDA LECTURA</t>
  </si>
  <si>
    <t>TERCERA LECTURA</t>
  </si>
  <si>
    <t>OBS.</t>
  </si>
  <si>
    <t>AGOSTO</t>
  </si>
  <si>
    <t xml:space="preserve">HORA </t>
  </si>
  <si>
    <t>TEMP</t>
  </si>
  <si>
    <t>HUMED.</t>
  </si>
  <si>
    <t>SETIEMBRE</t>
  </si>
  <si>
    <t>°C</t>
  </si>
  <si>
    <t>%</t>
  </si>
  <si>
    <t>OCTUBRE</t>
  </si>
  <si>
    <t>NOVIEMBRE</t>
  </si>
  <si>
    <t>DICIEMBRE</t>
  </si>
  <si>
    <t xml:space="preserve"> Nota :</t>
  </si>
  <si>
    <t xml:space="preserve"> Si la temperatura y/o humedad relativa están fuera de los valores permitidos, informar al Director Técnico </t>
  </si>
  <si>
    <t xml:space="preserve">                                       V°B° Director Técnico</t>
  </si>
  <si>
    <t>HOSPITAL ALBERTO LEOPOLDO BARTON THOMPSON</t>
  </si>
  <si>
    <t>CONTROL DE TEMPERATURA DE PROD. QUE REQUIEREN CONDICIONES ESPECIALES DE TEMPERATURA</t>
  </si>
  <si>
    <t>ALMACEN MEDICAMENTOS</t>
  </si>
  <si>
    <t>MAYO</t>
  </si>
  <si>
    <t>TIPO  :</t>
  </si>
  <si>
    <r>
      <rPr>
        <b/>
        <sz val="11"/>
        <rFont val="Arial"/>
        <family val="2"/>
      </rPr>
      <t>Rango de Temperatura:</t>
    </r>
    <r>
      <rPr>
        <sz val="11"/>
        <rFont val="Arial"/>
        <family val="2"/>
      </rPr>
      <t xml:space="preserve"> De 2 ºC  a  8 ºC. </t>
    </r>
  </si>
  <si>
    <t>Rango de horas de control de Temperatura</t>
  </si>
  <si>
    <r>
      <rPr>
        <b/>
        <sz val="11"/>
        <rFont val="Arial"/>
        <family val="2"/>
      </rPr>
      <t>Rango de Humedad Relativa:</t>
    </r>
    <r>
      <rPr>
        <sz val="11"/>
        <rFont val="Arial"/>
        <family val="2"/>
      </rPr>
      <t xml:space="preserve"> De  60%  a  70%</t>
    </r>
  </si>
  <si>
    <t>1er Turno</t>
  </si>
  <si>
    <t>Mañana</t>
  </si>
  <si>
    <t>2do Turno</t>
  </si>
  <si>
    <t>Tarde</t>
  </si>
  <si>
    <t>3er Turno</t>
  </si>
  <si>
    <t>Noche</t>
  </si>
  <si>
    <t>Observaciones:</t>
  </si>
  <si>
    <t>…………………………………………………………………………………………</t>
  </si>
  <si>
    <t xml:space="preserve"> Si la temperatura y/o humedad relativa están fuera de los valores permitidos, informar al Coordinador de Almacen</t>
  </si>
  <si>
    <t>V º  Bº  Coordinador de Almacen</t>
  </si>
  <si>
    <t>AREA:</t>
  </si>
  <si>
    <t>AÑO:</t>
  </si>
  <si>
    <t>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</si>
</sst>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right" vertical="center"/>
    </xf>
    <xf numFmtId="0" fontId="8" fillId="2" borderId="13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8" fillId="2" borderId="14" xfId="0" applyFont="1" applyFill="1" applyBorder="1" applyAlignment="1">
      <alignment horizontal="right" vertical="center"/>
    </xf>
    <xf numFmtId="165" fontId="8" fillId="2" borderId="10" xfId="0" applyNumberFormat="1" applyFont="1" applyFill="1" applyBorder="1" applyAlignment="1">
      <alignment horizontal="right" vertical="center"/>
    </xf>
    <xf numFmtId="165" fontId="8" fillId="2" borderId="14" xfId="0" applyNumberFormat="1" applyFont="1" applyFill="1" applyBorder="1" applyAlignment="1">
      <alignment horizontal="right" vertical="center"/>
    </xf>
    <xf numFmtId="165" fontId="8" fillId="2" borderId="10" xfId="0" applyNumberFormat="1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6" xfId="0" applyFont="1" applyFill="1" applyBorder="1" applyAlignment="1">
      <alignment horizontal="left" vertical="center"/>
    </xf>
    <xf numFmtId="165" fontId="1" fillId="2" borderId="11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</cellXfs>
  <cellStyles count="1">
    <cellStyle name="Normal" xfId="0" builtinId="0"/>
  </cellStyles>
  <dxfs count="29"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FF9900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FFFF00"/>
        </patternFill>
      </fill>
    </dxf>
    <dxf>
      <font>
        <color rgb="FFFFFFFF"/>
        <name val="Arial"/>
      </font>
      <fill>
        <patternFill>
          <bgColor rgb="FFFF9900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FFFF00"/>
        </patternFill>
      </fill>
    </dxf>
    <dxf>
      <font>
        <color rgb="FFFFFFFF"/>
        <name val="Arial"/>
      </font>
      <fill>
        <patternFill>
          <bgColor rgb="FFFF9900"/>
        </patternFill>
      </fill>
    </dxf>
    <dxf>
      <font>
        <color rgb="FFFFFFFF"/>
        <name val="Arial"/>
      </font>
      <fill>
        <patternFill>
          <bgColor rgb="FF00FFFF"/>
        </patternFill>
      </fill>
    </dxf>
    <dxf>
      <font>
        <color rgb="FFFFFFFF"/>
        <name val="Arial"/>
      </font>
      <fill>
        <patternFill>
          <bgColor rgb="FF00FFFF"/>
        </patternFill>
      </fill>
    </dxf>
    <dxf>
      <font>
        <color rgb="FFFFFFFF"/>
        <name val="Arial"/>
      </font>
      <fill>
        <patternFill>
          <bgColor rgb="FFFF9900"/>
        </patternFill>
      </fill>
    </dxf>
    <dxf>
      <font>
        <color rgb="FFFFFFFF"/>
        <name val="Arial"/>
      </font>
      <fill>
        <patternFill>
          <bgColor rgb="FFFFFF00"/>
        </patternFill>
      </fill>
    </dxf>
    <dxf>
      <font>
        <color rgb="FFCCFFCC"/>
        <name val="Arial"/>
      </font>
      <fill>
        <patternFill>
          <bgColor rgb="FFCCFFCC"/>
        </patternFill>
      </fill>
    </dxf>
    <dxf>
      <font>
        <color rgb="FFFFFFFF"/>
        <name val="Arial"/>
      </font>
      <fill>
        <patternFill>
          <bgColor rgb="FFFF9900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FFFF00"/>
        </patternFill>
      </fill>
    </dxf>
    <dxf>
      <font>
        <color rgb="FFFFFFFF"/>
        <name val="Arial"/>
      </font>
      <fill>
        <patternFill>
          <bgColor rgb="FFFF9900"/>
        </patternFill>
      </fill>
    </dxf>
    <dxf>
      <font>
        <color rgb="FFFFFFFF"/>
        <name val="Arial"/>
      </font>
      <fill>
        <patternFill>
          <bgColor rgb="FF00FFFF"/>
        </patternFill>
      </fill>
    </dxf>
    <dxf>
      <font>
        <color rgb="FFFFFFFF"/>
        <name val="Arial"/>
      </font>
      <fill>
        <patternFill>
          <bgColor rgb="FF00FFFF"/>
        </patternFill>
      </fill>
    </dxf>
    <dxf>
      <font>
        <color rgb="FFFFFFFF"/>
        <name val="Arial"/>
      </font>
      <fill>
        <patternFill>
          <bgColor rgb="FFFF9900"/>
        </patternFill>
      </fill>
    </dxf>
    <dxf>
      <font>
        <color rgb="FFFFFFFF"/>
        <name val="Arial"/>
      </font>
      <fill>
        <patternFill>
          <bgColor rgb="FFFFFF00"/>
        </patternFill>
      </fill>
    </dxf>
    <dxf>
      <font>
        <color rgb="FFCCFFCC"/>
        <name val="Arial"/>
      </font>
      <fill>
        <patternFill>
          <bgColor rgb="FFCCFFCC"/>
        </patternFill>
      </fill>
    </dxf>
    <dxf>
      <font>
        <color rgb="FFFFFFFF"/>
        <name val="Arial"/>
      </font>
      <fill>
        <patternFill>
          <bgColor rgb="FFCCFFCC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00FF00"/>
        </patternFill>
      </fill>
    </dxf>
    <dxf>
      <font>
        <color rgb="FFFFFFFF"/>
        <name val="Arial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140760</xdr:colOff>
      <xdr:row>47</xdr:row>
      <xdr:rowOff>228960</xdr:rowOff>
    </xdr:from>
    <xdr:to>
      <xdr:col>9</xdr:col>
      <xdr:colOff>727200</xdr:colOff>
      <xdr:row>47</xdr:row>
      <xdr:rowOff>241200</xdr:rowOff>
    </xdr:to>
    <xdr:sp macro="" textlink="">
      <xdr:nvSpPr>
        <xdr:cNvPr id="2" name="Line 1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3480" y="13802040"/>
          <a:ext cx="6056280" cy="12240"/>
        </a:xfrm>
        <a:prstGeom prst="line">
          <a:avLst/>
        </a:prstGeom>
        <a:ln w="9360" cap="rnd">
          <a:solidFill>
            <a:srgbClr val="000000"/>
          </a:solidFill>
          <a:custDash>
            <a:ds d="100000" sp="1000"/>
          </a:custDash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153000</xdr:colOff>
      <xdr:row>48</xdr:row>
      <xdr:rowOff>152280</xdr:rowOff>
    </xdr:from>
    <xdr:to>
      <xdr:col>9</xdr:col>
      <xdr:colOff>718200</xdr:colOff>
      <xdr:row>48</xdr:row>
      <xdr:rowOff>177840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15720" y="13982760"/>
          <a:ext cx="6035040" cy="25560"/>
        </a:xfrm>
        <a:prstGeom prst="line">
          <a:avLst/>
        </a:prstGeom>
        <a:ln w="9360" cap="rnd">
          <a:solidFill>
            <a:srgbClr val="000000"/>
          </a:solidFill>
          <a:custDash>
            <a:ds d="100000" sp="1000"/>
          </a:custDash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127440</xdr:colOff>
      <xdr:row>49</xdr:row>
      <xdr:rowOff>139680</xdr:rowOff>
    </xdr:from>
    <xdr:to>
      <xdr:col>9</xdr:col>
      <xdr:colOff>692280</xdr:colOff>
      <xdr:row>49</xdr:row>
      <xdr:rowOff>165240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90160" y="14189040"/>
          <a:ext cx="6034680" cy="25560"/>
        </a:xfrm>
        <a:prstGeom prst="line">
          <a:avLst/>
        </a:prstGeom>
        <a:ln w="9360" cap="rnd">
          <a:solidFill>
            <a:srgbClr val="000000"/>
          </a:solidFill>
          <a:custDash>
            <a:ds d="100000" sp="1000"/>
          </a:custDash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82800</xdr:colOff>
      <xdr:row>0</xdr:row>
      <xdr:rowOff>114480</xdr:rowOff>
    </xdr:from>
    <xdr:to>
      <xdr:col>4</xdr:col>
      <xdr:colOff>154440</xdr:colOff>
      <xdr:row>3</xdr:row>
      <xdr:rowOff>12960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5520" y="114480"/>
          <a:ext cx="1997280" cy="650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49"/>
  <sheetViews>
    <sheetView tabSelected="1" view="pageBreakPreview" zoomScale="40" zoomScaleNormal="55" zoomScaleSheetLayoutView="40" workbookViewId="0">
      <selection activeCell="L9" sqref="L9"/>
    </sheetView>
  </sheetViews>
  <sheetFormatPr baseColWidth="10" defaultColWidth="11.5" defaultRowHeight="17.25" customHeight="1" x14ac:dyDescent="0.6"/>
  <cols>
    <col min="1" max="1" width="8.6796875" style="1" customWidth="1"/>
    <col min="2" max="2" width="19" style="1" customWidth="1"/>
    <col min="3" max="4" width="11.5" style="1"/>
    <col min="5" max="5" width="8.58984375" style="1" customWidth="1"/>
    <col min="6" max="6" width="7.7265625" style="1" customWidth="1"/>
    <col min="7" max="7" width="7.26953125" style="1" customWidth="1"/>
    <col min="8" max="8" width="21.1796875" style="1" customWidth="1"/>
    <col min="9" max="10" width="11.5" style="1"/>
    <col min="11" max="11" width="21.81640625" style="1" customWidth="1"/>
    <col min="12" max="12" width="27.08984375" style="1" customWidth="1"/>
    <col min="13" max="252" width="11.5" style="1"/>
  </cols>
  <sheetData>
    <row r="1" spans="1:12" ht="13.5" customHeight="1" x14ac:dyDescent="0.6">
      <c r="A1" s="1" t="s">
        <v>0</v>
      </c>
      <c r="L1" s="2"/>
    </row>
    <row r="2" spans="1:12" ht="19.5" customHeight="1" x14ac:dyDescent="0.6">
      <c r="K2" s="5" t="s">
        <v>4</v>
      </c>
      <c r="L2" s="36" t="s">
        <v>5</v>
      </c>
    </row>
    <row r="3" spans="1:12" ht="19.5" customHeight="1" x14ac:dyDescent="0.6">
      <c r="B3" s="4" t="s">
        <v>6</v>
      </c>
      <c r="K3" s="5" t="s">
        <v>7</v>
      </c>
      <c r="L3" s="5">
        <v>0</v>
      </c>
    </row>
    <row r="4" spans="1:12" ht="19.5" customHeight="1" x14ac:dyDescent="0.6">
      <c r="K4" s="5" t="s">
        <v>8</v>
      </c>
      <c r="L4" s="6">
        <v>45219</v>
      </c>
    </row>
    <row r="5" spans="1:12" ht="19.5" customHeight="1" x14ac:dyDescent="0.6">
      <c r="K5" s="38" t="s">
        <v>12</v>
      </c>
      <c r="L5" s="5" t="s">
        <v>13</v>
      </c>
    </row>
    <row r="6" spans="1:12" ht="19.5" customHeight="1" x14ac:dyDescent="0.6">
      <c r="K6" s="7"/>
      <c r="L6" s="7"/>
    </row>
    <row r="7" spans="1:12" ht="27" customHeight="1" x14ac:dyDescent="0.6">
      <c r="A7" s="44" t="s">
        <v>17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9" spans="1:12" ht="24" customHeight="1" x14ac:dyDescent="0.6">
      <c r="A9" s="41"/>
      <c r="B9" s="37" t="s">
        <v>61</v>
      </c>
      <c r="C9" s="45"/>
      <c r="D9" s="45"/>
      <c r="E9" s="75" t="s">
        <v>63</v>
      </c>
      <c r="F9" s="75"/>
      <c r="G9" s="42"/>
      <c r="H9" s="42"/>
      <c r="I9" s="40" t="s">
        <v>62</v>
      </c>
      <c r="J9" s="30"/>
      <c r="K9" s="37" t="s">
        <v>21</v>
      </c>
      <c r="L9" s="30"/>
    </row>
    <row r="10" spans="1:12" ht="21.75" customHeight="1" x14ac:dyDescent="0.6"/>
    <row r="11" spans="1:12" ht="18" customHeight="1" x14ac:dyDescent="0.6">
      <c r="A11" s="46" t="s">
        <v>24</v>
      </c>
      <c r="B11" s="46" t="s">
        <v>25</v>
      </c>
      <c r="C11" s="46"/>
      <c r="D11" s="46"/>
      <c r="E11" s="48" t="s">
        <v>26</v>
      </c>
      <c r="F11" s="49"/>
      <c r="G11" s="50"/>
      <c r="H11" s="47" t="s">
        <v>27</v>
      </c>
      <c r="I11" s="47"/>
      <c r="J11" s="47"/>
      <c r="K11" s="47" t="s">
        <v>26</v>
      </c>
      <c r="L11" s="47" t="s">
        <v>29</v>
      </c>
    </row>
    <row r="12" spans="1:12" ht="18" customHeight="1" x14ac:dyDescent="0.6">
      <c r="A12" s="46"/>
      <c r="B12" s="46" t="s">
        <v>31</v>
      </c>
      <c r="C12" s="3" t="s">
        <v>32</v>
      </c>
      <c r="D12" s="3" t="s">
        <v>33</v>
      </c>
      <c r="E12" s="51"/>
      <c r="F12" s="52"/>
      <c r="G12" s="53"/>
      <c r="H12" s="46" t="s">
        <v>31</v>
      </c>
      <c r="I12" s="3" t="s">
        <v>32</v>
      </c>
      <c r="J12" s="3" t="s">
        <v>33</v>
      </c>
      <c r="K12" s="47"/>
      <c r="L12" s="47"/>
    </row>
    <row r="13" spans="1:12" ht="18" customHeight="1" x14ac:dyDescent="0.6">
      <c r="A13" s="46"/>
      <c r="B13" s="46"/>
      <c r="C13" s="3" t="s">
        <v>35</v>
      </c>
      <c r="D13" s="3" t="s">
        <v>36</v>
      </c>
      <c r="E13" s="54"/>
      <c r="F13" s="55"/>
      <c r="G13" s="56"/>
      <c r="H13" s="46"/>
      <c r="I13" s="3" t="s">
        <v>35</v>
      </c>
      <c r="J13" s="3" t="s">
        <v>36</v>
      </c>
      <c r="K13" s="47"/>
      <c r="L13" s="47"/>
    </row>
    <row r="14" spans="1:12" ht="24.75" customHeight="1" x14ac:dyDescent="0.6">
      <c r="A14" s="33">
        <v>1</v>
      </c>
      <c r="B14" s="34"/>
      <c r="C14" s="34"/>
      <c r="D14" s="34"/>
      <c r="E14" s="57"/>
      <c r="F14" s="58"/>
      <c r="G14" s="59"/>
      <c r="H14" s="34"/>
      <c r="I14" s="34"/>
      <c r="J14" s="34"/>
      <c r="K14" s="34"/>
      <c r="L14" s="34"/>
    </row>
    <row r="15" spans="1:12" ht="24.75" customHeight="1" x14ac:dyDescent="0.6">
      <c r="A15" s="33">
        <v>2</v>
      </c>
      <c r="B15" s="34"/>
      <c r="C15" s="34"/>
      <c r="D15" s="34"/>
      <c r="E15" s="57"/>
      <c r="F15" s="58"/>
      <c r="G15" s="59"/>
      <c r="H15" s="34"/>
      <c r="I15" s="34"/>
      <c r="J15" s="34"/>
      <c r="K15" s="34"/>
      <c r="L15" s="34"/>
    </row>
    <row r="16" spans="1:12" ht="24.75" customHeight="1" x14ac:dyDescent="0.6">
      <c r="A16" s="33">
        <v>3</v>
      </c>
      <c r="B16" s="34"/>
      <c r="C16" s="34"/>
      <c r="D16" s="34"/>
      <c r="E16" s="57"/>
      <c r="F16" s="58"/>
      <c r="G16" s="59"/>
      <c r="H16" s="34"/>
      <c r="I16" s="34"/>
      <c r="J16" s="34"/>
      <c r="K16" s="34"/>
      <c r="L16" s="34"/>
    </row>
    <row r="17" spans="1:12" ht="24.75" customHeight="1" x14ac:dyDescent="0.6">
      <c r="A17" s="33">
        <v>4</v>
      </c>
      <c r="B17" s="34"/>
      <c r="C17" s="34"/>
      <c r="D17" s="34"/>
      <c r="E17" s="57"/>
      <c r="F17" s="58"/>
      <c r="G17" s="59"/>
      <c r="H17" s="34"/>
      <c r="I17" s="34"/>
      <c r="J17" s="34"/>
      <c r="K17" s="34"/>
      <c r="L17" s="34"/>
    </row>
    <row r="18" spans="1:12" ht="24.75" customHeight="1" x14ac:dyDescent="0.6">
      <c r="A18" s="33">
        <v>5</v>
      </c>
      <c r="B18" s="34"/>
      <c r="C18" s="34"/>
      <c r="D18" s="34"/>
      <c r="E18" s="57"/>
      <c r="F18" s="58"/>
      <c r="G18" s="59"/>
      <c r="H18" s="34"/>
      <c r="I18" s="34"/>
      <c r="J18" s="34"/>
      <c r="K18" s="34"/>
      <c r="L18" s="34"/>
    </row>
    <row r="19" spans="1:12" ht="24.75" customHeight="1" x14ac:dyDescent="0.6">
      <c r="A19" s="33">
        <v>6</v>
      </c>
      <c r="B19" s="34"/>
      <c r="C19" s="34"/>
      <c r="D19" s="34"/>
      <c r="E19" s="57"/>
      <c r="F19" s="58"/>
      <c r="G19" s="59"/>
      <c r="H19" s="34"/>
      <c r="I19" s="34"/>
      <c r="J19" s="34"/>
      <c r="K19" s="34"/>
      <c r="L19" s="34"/>
    </row>
    <row r="20" spans="1:12" ht="24.75" customHeight="1" x14ac:dyDescent="0.6">
      <c r="A20" s="33">
        <v>7</v>
      </c>
      <c r="B20" s="34"/>
      <c r="C20" s="34"/>
      <c r="D20" s="34"/>
      <c r="E20" s="57"/>
      <c r="F20" s="58"/>
      <c r="G20" s="59"/>
      <c r="H20" s="34"/>
      <c r="I20" s="34"/>
      <c r="J20" s="34"/>
      <c r="K20" s="34"/>
      <c r="L20" s="34"/>
    </row>
    <row r="21" spans="1:12" ht="24.75" customHeight="1" x14ac:dyDescent="0.6">
      <c r="A21" s="33">
        <v>8</v>
      </c>
      <c r="B21" s="34"/>
      <c r="C21" s="34"/>
      <c r="D21" s="34"/>
      <c r="E21" s="57"/>
      <c r="F21" s="58"/>
      <c r="G21" s="59"/>
      <c r="H21" s="34"/>
      <c r="I21" s="34"/>
      <c r="J21" s="34"/>
      <c r="K21" s="34"/>
      <c r="L21" s="34"/>
    </row>
    <row r="22" spans="1:12" ht="24.75" customHeight="1" x14ac:dyDescent="0.6">
      <c r="A22" s="33">
        <v>9</v>
      </c>
      <c r="B22" s="34"/>
      <c r="C22" s="34"/>
      <c r="D22" s="34"/>
      <c r="E22" s="57"/>
      <c r="F22" s="58"/>
      <c r="G22" s="59"/>
      <c r="H22" s="34"/>
      <c r="I22" s="34"/>
      <c r="J22" s="34"/>
      <c r="K22" s="34"/>
      <c r="L22" s="34"/>
    </row>
    <row r="23" spans="1:12" ht="24.75" customHeight="1" x14ac:dyDescent="0.6">
      <c r="A23" s="33">
        <v>10</v>
      </c>
      <c r="B23" s="35"/>
      <c r="C23" s="35"/>
      <c r="D23" s="35"/>
      <c r="E23" s="57"/>
      <c r="F23" s="58"/>
      <c r="G23" s="59"/>
      <c r="H23" s="35"/>
      <c r="I23" s="35"/>
      <c r="J23" s="35"/>
      <c r="K23" s="35"/>
      <c r="L23" s="35"/>
    </row>
    <row r="24" spans="1:12" ht="24.75" customHeight="1" x14ac:dyDescent="0.6">
      <c r="A24" s="33">
        <v>11</v>
      </c>
      <c r="B24" s="34"/>
      <c r="C24" s="34"/>
      <c r="D24" s="34"/>
      <c r="E24" s="57"/>
      <c r="F24" s="58"/>
      <c r="G24" s="59"/>
      <c r="H24" s="34"/>
      <c r="I24" s="34"/>
      <c r="J24" s="34"/>
      <c r="K24" s="34"/>
      <c r="L24" s="34"/>
    </row>
    <row r="25" spans="1:12" ht="24.75" customHeight="1" x14ac:dyDescent="0.6">
      <c r="A25" s="33">
        <v>12</v>
      </c>
      <c r="B25" s="34"/>
      <c r="C25" s="34"/>
      <c r="D25" s="34"/>
      <c r="E25" s="57"/>
      <c r="F25" s="58"/>
      <c r="G25" s="59"/>
      <c r="H25" s="34"/>
      <c r="I25" s="34"/>
      <c r="J25" s="34"/>
      <c r="K25" s="34"/>
      <c r="L25" s="34"/>
    </row>
    <row r="26" spans="1:12" ht="24.75" customHeight="1" x14ac:dyDescent="0.6">
      <c r="A26" s="33">
        <v>13</v>
      </c>
      <c r="B26" s="34"/>
      <c r="C26" s="34"/>
      <c r="D26" s="34"/>
      <c r="E26" s="57"/>
      <c r="F26" s="58"/>
      <c r="G26" s="59"/>
      <c r="H26" s="34"/>
      <c r="I26" s="34"/>
      <c r="J26" s="34"/>
      <c r="K26" s="34"/>
      <c r="L26" s="34"/>
    </row>
    <row r="27" spans="1:12" ht="24.75" customHeight="1" x14ac:dyDescent="0.6">
      <c r="A27" s="33">
        <v>14</v>
      </c>
      <c r="B27" s="34"/>
      <c r="C27" s="34"/>
      <c r="D27" s="34"/>
      <c r="E27" s="57"/>
      <c r="F27" s="58"/>
      <c r="G27" s="59"/>
      <c r="H27" s="34"/>
      <c r="I27" s="34"/>
      <c r="J27" s="34"/>
      <c r="K27" s="34"/>
      <c r="L27" s="34"/>
    </row>
    <row r="28" spans="1:12" ht="24.75" customHeight="1" x14ac:dyDescent="0.6">
      <c r="A28" s="33">
        <v>15</v>
      </c>
      <c r="B28" s="35"/>
      <c r="C28" s="35"/>
      <c r="D28" s="35"/>
      <c r="E28" s="57"/>
      <c r="F28" s="58"/>
      <c r="G28" s="59"/>
      <c r="H28" s="35"/>
      <c r="I28" s="35"/>
      <c r="J28" s="35"/>
      <c r="K28" s="35"/>
      <c r="L28" s="35"/>
    </row>
    <row r="29" spans="1:12" ht="24.75" customHeight="1" x14ac:dyDescent="0.6">
      <c r="A29" s="33">
        <v>16</v>
      </c>
      <c r="B29" s="34"/>
      <c r="C29" s="34"/>
      <c r="D29" s="34"/>
      <c r="E29" s="57"/>
      <c r="F29" s="58"/>
      <c r="G29" s="59"/>
      <c r="H29" s="34"/>
      <c r="I29" s="34"/>
      <c r="J29" s="34"/>
      <c r="K29" s="34"/>
      <c r="L29" s="34"/>
    </row>
    <row r="30" spans="1:12" ht="24.75" customHeight="1" x14ac:dyDescent="0.6">
      <c r="A30" s="33">
        <v>17</v>
      </c>
      <c r="B30" s="34"/>
      <c r="C30" s="34"/>
      <c r="D30" s="34"/>
      <c r="E30" s="57"/>
      <c r="F30" s="58"/>
      <c r="G30" s="59"/>
      <c r="H30" s="34"/>
      <c r="I30" s="34"/>
      <c r="J30" s="34"/>
      <c r="K30" s="34"/>
      <c r="L30" s="34"/>
    </row>
    <row r="31" spans="1:12" ht="24.75" customHeight="1" x14ac:dyDescent="0.6">
      <c r="A31" s="33">
        <v>18</v>
      </c>
      <c r="B31" s="34"/>
      <c r="C31" s="34"/>
      <c r="D31" s="34"/>
      <c r="E31" s="57"/>
      <c r="F31" s="58"/>
      <c r="G31" s="59"/>
      <c r="H31" s="34"/>
      <c r="I31" s="34"/>
      <c r="J31" s="34"/>
      <c r="K31" s="34"/>
      <c r="L31" s="34"/>
    </row>
    <row r="32" spans="1:12" ht="24.75" customHeight="1" x14ac:dyDescent="0.6">
      <c r="A32" s="33">
        <v>19</v>
      </c>
      <c r="B32" s="35"/>
      <c r="C32" s="35"/>
      <c r="D32" s="35"/>
      <c r="E32" s="57"/>
      <c r="F32" s="58"/>
      <c r="G32" s="59"/>
      <c r="H32" s="35"/>
      <c r="I32" s="35"/>
      <c r="J32" s="35"/>
      <c r="K32" s="35"/>
      <c r="L32" s="35"/>
    </row>
    <row r="33" spans="1:13" ht="24.75" customHeight="1" x14ac:dyDescent="0.6">
      <c r="A33" s="33">
        <v>20</v>
      </c>
      <c r="B33" s="34"/>
      <c r="C33" s="34"/>
      <c r="D33" s="34"/>
      <c r="E33" s="57"/>
      <c r="F33" s="58"/>
      <c r="G33" s="59"/>
      <c r="H33" s="34"/>
      <c r="I33" s="34"/>
      <c r="J33" s="34"/>
      <c r="K33" s="34"/>
      <c r="L33" s="34"/>
    </row>
    <row r="34" spans="1:13" ht="24.75" customHeight="1" x14ac:dyDescent="0.6">
      <c r="A34" s="33">
        <v>21</v>
      </c>
      <c r="B34" s="34"/>
      <c r="C34" s="34"/>
      <c r="D34" s="34"/>
      <c r="E34" s="57"/>
      <c r="F34" s="58"/>
      <c r="G34" s="59"/>
      <c r="H34" s="34"/>
      <c r="I34" s="34"/>
      <c r="J34" s="34"/>
      <c r="K34" s="34"/>
      <c r="L34" s="34"/>
    </row>
    <row r="35" spans="1:13" ht="24.75" customHeight="1" x14ac:dyDescent="0.6">
      <c r="A35" s="33">
        <v>22</v>
      </c>
      <c r="B35" s="35"/>
      <c r="C35" s="35"/>
      <c r="D35" s="35"/>
      <c r="E35" s="57"/>
      <c r="F35" s="58"/>
      <c r="G35" s="59"/>
      <c r="H35" s="35"/>
      <c r="I35" s="35"/>
      <c r="J35" s="35"/>
      <c r="K35" s="35"/>
      <c r="L35" s="35"/>
    </row>
    <row r="36" spans="1:13" ht="24.75" customHeight="1" x14ac:dyDescent="0.6">
      <c r="A36" s="33">
        <v>23</v>
      </c>
      <c r="B36" s="34"/>
      <c r="C36" s="34"/>
      <c r="D36" s="34"/>
      <c r="E36" s="57"/>
      <c r="F36" s="58"/>
      <c r="G36" s="59"/>
      <c r="H36" s="34"/>
      <c r="I36" s="34"/>
      <c r="J36" s="34"/>
      <c r="K36" s="34"/>
      <c r="L36" s="34"/>
    </row>
    <row r="37" spans="1:13" ht="24.75" customHeight="1" x14ac:dyDescent="0.6">
      <c r="A37" s="33">
        <v>24</v>
      </c>
      <c r="B37" s="34"/>
      <c r="C37" s="34"/>
      <c r="D37" s="34"/>
      <c r="E37" s="57"/>
      <c r="F37" s="58"/>
      <c r="G37" s="59"/>
      <c r="H37" s="34"/>
      <c r="I37" s="34"/>
      <c r="J37" s="34"/>
      <c r="K37" s="34"/>
      <c r="L37" s="34"/>
      <c r="M37" s="20"/>
    </row>
    <row r="38" spans="1:13" ht="24.75" customHeight="1" x14ac:dyDescent="0.6">
      <c r="A38" s="33">
        <v>25</v>
      </c>
      <c r="B38" s="34"/>
      <c r="C38" s="34"/>
      <c r="D38" s="34"/>
      <c r="E38" s="57"/>
      <c r="F38" s="58"/>
      <c r="G38" s="59"/>
      <c r="H38" s="34"/>
      <c r="I38" s="34"/>
      <c r="J38" s="34"/>
      <c r="K38" s="34"/>
      <c r="L38" s="34"/>
      <c r="M38" s="7"/>
    </row>
    <row r="39" spans="1:13" ht="24.75" customHeight="1" x14ac:dyDescent="0.6">
      <c r="A39" s="33">
        <v>26</v>
      </c>
      <c r="B39" s="34"/>
      <c r="C39" s="34"/>
      <c r="D39" s="34"/>
      <c r="E39" s="57"/>
      <c r="F39" s="58"/>
      <c r="G39" s="59"/>
      <c r="H39" s="34"/>
      <c r="I39" s="34"/>
      <c r="J39" s="34"/>
      <c r="K39" s="34"/>
      <c r="L39" s="34"/>
      <c r="M39" s="7"/>
    </row>
    <row r="40" spans="1:13" ht="24.75" customHeight="1" x14ac:dyDescent="0.6">
      <c r="A40" s="33">
        <v>27</v>
      </c>
      <c r="B40" s="34"/>
      <c r="C40" s="34"/>
      <c r="D40" s="34"/>
      <c r="E40" s="57"/>
      <c r="F40" s="58"/>
      <c r="G40" s="59"/>
      <c r="H40" s="34"/>
      <c r="I40" s="34"/>
      <c r="J40" s="34"/>
      <c r="K40" s="34"/>
      <c r="L40" s="34"/>
      <c r="M40" s="7"/>
    </row>
    <row r="41" spans="1:13" ht="24.75" customHeight="1" x14ac:dyDescent="0.6">
      <c r="A41" s="33">
        <v>28</v>
      </c>
      <c r="B41" s="34"/>
      <c r="C41" s="34"/>
      <c r="D41" s="34"/>
      <c r="E41" s="57"/>
      <c r="F41" s="58"/>
      <c r="G41" s="59"/>
      <c r="H41" s="34"/>
      <c r="I41" s="34"/>
      <c r="J41" s="34"/>
      <c r="K41" s="34"/>
      <c r="L41" s="34"/>
    </row>
    <row r="42" spans="1:13" ht="24.75" customHeight="1" x14ac:dyDescent="0.6">
      <c r="A42" s="33">
        <v>29</v>
      </c>
      <c r="B42" s="35"/>
      <c r="C42" s="35"/>
      <c r="D42" s="35"/>
      <c r="E42" s="57"/>
      <c r="F42" s="58"/>
      <c r="G42" s="59"/>
      <c r="H42" s="35"/>
      <c r="I42" s="35"/>
      <c r="J42" s="35"/>
      <c r="K42" s="35"/>
      <c r="L42" s="35"/>
    </row>
    <row r="43" spans="1:13" ht="24.75" customHeight="1" x14ac:dyDescent="0.6">
      <c r="A43" s="33">
        <v>30</v>
      </c>
      <c r="B43" s="35"/>
      <c r="C43" s="35"/>
      <c r="D43" s="35"/>
      <c r="E43" s="57"/>
      <c r="F43" s="58"/>
      <c r="G43" s="59"/>
      <c r="H43" s="35"/>
      <c r="I43" s="35"/>
      <c r="J43" s="35"/>
      <c r="K43" s="35"/>
      <c r="L43" s="35"/>
    </row>
    <row r="44" spans="1:13" ht="24.75" customHeight="1" x14ac:dyDescent="0.6">
      <c r="A44" s="33">
        <v>31</v>
      </c>
      <c r="B44" s="34"/>
      <c r="C44" s="34"/>
      <c r="D44" s="34"/>
      <c r="E44" s="57"/>
      <c r="F44" s="58"/>
      <c r="G44" s="59"/>
      <c r="H44" s="34"/>
      <c r="I44" s="34"/>
      <c r="J44" s="34"/>
      <c r="K44" s="34"/>
      <c r="L44" s="34"/>
    </row>
    <row r="45" spans="1:13" ht="24.75" customHeight="1" x14ac:dyDescent="0.6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3" ht="9" customHeight="1" x14ac:dyDescent="0.6">
      <c r="A46" s="23"/>
    </row>
    <row r="47" spans="1:13" ht="18" customHeight="1" x14ac:dyDescent="0.6">
      <c r="A47" s="43"/>
      <c r="B47" s="43"/>
      <c r="C47" s="43"/>
      <c r="D47" s="43"/>
      <c r="E47" s="43"/>
      <c r="F47" s="43"/>
      <c r="G47" s="43"/>
      <c r="H47" s="43"/>
      <c r="I47" s="43"/>
      <c r="J47" s="43"/>
      <c r="L47" s="39"/>
    </row>
    <row r="48" spans="1:13" ht="17.25" customHeight="1" x14ac:dyDescent="0.6">
      <c r="A48" s="24"/>
      <c r="B48" s="25"/>
      <c r="C48" s="25"/>
      <c r="D48" s="25"/>
      <c r="E48" s="25"/>
      <c r="F48" s="25"/>
      <c r="G48" s="25"/>
    </row>
    <row r="49" spans="1:11" ht="17.25" customHeight="1" x14ac:dyDescent="0.6">
      <c r="A49" s="26" t="s">
        <v>40</v>
      </c>
      <c r="B49" s="1" t="s">
        <v>41</v>
      </c>
      <c r="K49" s="1" t="s">
        <v>42</v>
      </c>
    </row>
  </sheetData>
  <mergeCells count="44">
    <mergeCell ref="C9:D9"/>
    <mergeCell ref="E9:F9"/>
    <mergeCell ref="G9:H9"/>
    <mergeCell ref="E43:G43"/>
    <mergeCell ref="E44:G44"/>
    <mergeCell ref="E36:G36"/>
    <mergeCell ref="E37:G37"/>
    <mergeCell ref="E38:G38"/>
    <mergeCell ref="E39:G39"/>
    <mergeCell ref="E40:G40"/>
    <mergeCell ref="E33:G33"/>
    <mergeCell ref="E34:G34"/>
    <mergeCell ref="E35:G35"/>
    <mergeCell ref="E41:G41"/>
    <mergeCell ref="E42:G42"/>
    <mergeCell ref="E28:G28"/>
    <mergeCell ref="E29:G29"/>
    <mergeCell ref="E30:G30"/>
    <mergeCell ref="E31:G31"/>
    <mergeCell ref="E32:G32"/>
    <mergeCell ref="E23:G23"/>
    <mergeCell ref="E24:G24"/>
    <mergeCell ref="E25:G25"/>
    <mergeCell ref="E26:G26"/>
    <mergeCell ref="E27:G27"/>
    <mergeCell ref="E18:G18"/>
    <mergeCell ref="E19:G19"/>
    <mergeCell ref="E20:G20"/>
    <mergeCell ref="E21:G21"/>
    <mergeCell ref="E22:G22"/>
    <mergeCell ref="A47:J47"/>
    <mergeCell ref="A7:L7"/>
    <mergeCell ref="A11:A13"/>
    <mergeCell ref="B11:D11"/>
    <mergeCell ref="H11:J11"/>
    <mergeCell ref="K11:K13"/>
    <mergeCell ref="L11:L13"/>
    <mergeCell ref="B12:B13"/>
    <mergeCell ref="H12:H13"/>
    <mergeCell ref="E11:G13"/>
    <mergeCell ref="E14:G14"/>
    <mergeCell ref="E15:G15"/>
    <mergeCell ref="E16:G16"/>
    <mergeCell ref="E17:G17"/>
  </mergeCells>
  <conditionalFormatting sqref="A45">
    <cfRule type="cellIs" dxfId="28" priority="12" operator="equal">
      <formula>38544</formula>
    </cfRule>
  </conditionalFormatting>
  <conditionalFormatting sqref="B23:D23 H23:L23 H28:L28 H32:L32 H35:L35 H42:L43">
    <cfRule type="cellIs" dxfId="27" priority="4" operator="equal">
      <formula>38866</formula>
    </cfRule>
  </conditionalFormatting>
  <conditionalFormatting sqref="B28:D28">
    <cfRule type="cellIs" dxfId="26" priority="1" operator="equal">
      <formula>38866</formula>
    </cfRule>
  </conditionalFormatting>
  <conditionalFormatting sqref="B32:D32">
    <cfRule type="cellIs" dxfId="25" priority="2" operator="equal">
      <formula>38866</formula>
    </cfRule>
  </conditionalFormatting>
  <conditionalFormatting sqref="B35:D35">
    <cfRule type="cellIs" dxfId="24" priority="8" operator="equal">
      <formula>38866</formula>
    </cfRule>
  </conditionalFormatting>
  <conditionalFormatting sqref="B42:D43">
    <cfRule type="cellIs" dxfId="23" priority="5" operator="equal">
      <formula>38866</formula>
    </cfRule>
  </conditionalFormatting>
  <printOptions horizontalCentered="1"/>
  <pageMargins left="0.25" right="0.25" top="0.75" bottom="0.75" header="0.511811023622047" footer="0.511811023622047"/>
  <pageSetup paperSize="9" scale="5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1"/>
  <sheetViews>
    <sheetView view="pageBreakPreview" zoomScaleNormal="75" workbookViewId="0">
      <selection activeCell="N14" sqref="N14"/>
    </sheetView>
  </sheetViews>
  <sheetFormatPr baseColWidth="10" defaultColWidth="11.5" defaultRowHeight="17.25" customHeight="1" x14ac:dyDescent="0.6"/>
  <cols>
    <col min="1" max="1" width="2.31640625" style="1" customWidth="1"/>
    <col min="2" max="2" width="8.6796875" style="1" customWidth="1"/>
    <col min="3" max="3" width="10.6328125" style="1" customWidth="1"/>
    <col min="4" max="4" width="8" style="1" customWidth="1"/>
    <col min="5" max="5" width="8.5" style="1" customWidth="1"/>
    <col min="6" max="6" width="15" style="1" customWidth="1"/>
    <col min="7" max="7" width="9.5" style="1" customWidth="1"/>
    <col min="8" max="8" width="8" style="1" customWidth="1"/>
    <col min="9" max="9" width="9.31640625" style="1" customWidth="1"/>
    <col min="10" max="10" width="15" style="1" customWidth="1"/>
    <col min="11" max="11" width="8.1796875" style="1" customWidth="1"/>
    <col min="12" max="12" width="7.5" style="1" customWidth="1"/>
    <col min="13" max="13" width="9" style="1" customWidth="1"/>
    <col min="14" max="14" width="15.1796875" style="1" customWidth="1"/>
    <col min="15" max="15" width="19.5" style="1" customWidth="1"/>
    <col min="16" max="16" width="11.5" style="1"/>
    <col min="17" max="19" width="11.5" style="1" hidden="1"/>
    <col min="20" max="257" width="11.5" style="1"/>
  </cols>
  <sheetData>
    <row r="1" spans="2:19" ht="13.5" customHeight="1" x14ac:dyDescent="0.6">
      <c r="Q1" s="1" t="s">
        <v>1</v>
      </c>
      <c r="R1" s="1" t="s">
        <v>2</v>
      </c>
      <c r="S1" s="1" t="s">
        <v>3</v>
      </c>
    </row>
    <row r="2" spans="2:19" ht="24.75" customHeight="1" x14ac:dyDescent="0.6">
      <c r="E2" s="66" t="s">
        <v>43</v>
      </c>
      <c r="F2" s="66"/>
      <c r="G2" s="66"/>
      <c r="H2" s="66"/>
      <c r="I2" s="66"/>
      <c r="J2" s="66"/>
      <c r="K2" s="66"/>
      <c r="L2" s="66"/>
      <c r="M2" s="66"/>
      <c r="N2" s="66"/>
      <c r="O2" s="66"/>
      <c r="Q2" s="1" t="s">
        <v>9</v>
      </c>
      <c r="R2" s="1" t="s">
        <v>10</v>
      </c>
      <c r="S2" s="1" t="s">
        <v>11</v>
      </c>
    </row>
    <row r="3" spans="2:19" ht="21" customHeight="1" x14ac:dyDescent="0.6"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Q3" s="1" t="s">
        <v>14</v>
      </c>
      <c r="R3" s="1" t="s">
        <v>15</v>
      </c>
      <c r="S3" s="1" t="s">
        <v>16</v>
      </c>
    </row>
    <row r="4" spans="2:19" ht="17.25" customHeight="1" x14ac:dyDescent="0.6">
      <c r="B4" s="67" t="s">
        <v>44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R4" s="1" t="s">
        <v>18</v>
      </c>
      <c r="S4" s="1" t="s">
        <v>19</v>
      </c>
    </row>
    <row r="5" spans="2:19" ht="27" customHeight="1" x14ac:dyDescent="0.6">
      <c r="B5" s="26" t="s">
        <v>45</v>
      </c>
      <c r="C5" s="26"/>
      <c r="D5" s="68"/>
      <c r="E5" s="68"/>
      <c r="F5" s="68"/>
      <c r="R5" s="1" t="s">
        <v>46</v>
      </c>
    </row>
    <row r="6" spans="2:19" ht="27" customHeight="1" x14ac:dyDescent="0.6">
      <c r="B6" s="26" t="s">
        <v>47</v>
      </c>
      <c r="C6" s="26"/>
      <c r="D6" s="69"/>
      <c r="E6" s="69"/>
      <c r="F6" s="69"/>
      <c r="J6" s="27" t="s">
        <v>20</v>
      </c>
      <c r="K6" s="8" t="s">
        <v>46</v>
      </c>
      <c r="R6" s="1" t="s">
        <v>22</v>
      </c>
    </row>
    <row r="7" spans="2:19" ht="17.25" customHeight="1" x14ac:dyDescent="0.6">
      <c r="R7" s="1" t="s">
        <v>23</v>
      </c>
    </row>
    <row r="8" spans="2:19" ht="18" customHeight="1" x14ac:dyDescent="0.6">
      <c r="B8" s="70" t="s">
        <v>24</v>
      </c>
      <c r="C8" s="28" t="s">
        <v>25</v>
      </c>
      <c r="D8" s="9"/>
      <c r="E8" s="9"/>
      <c r="F8" s="71" t="s">
        <v>26</v>
      </c>
      <c r="G8" s="72" t="s">
        <v>27</v>
      </c>
      <c r="H8" s="72"/>
      <c r="I8" s="72"/>
      <c r="J8" s="71" t="s">
        <v>26</v>
      </c>
      <c r="K8" s="72" t="s">
        <v>28</v>
      </c>
      <c r="L8" s="72"/>
      <c r="M8" s="72"/>
      <c r="N8" s="71" t="s">
        <v>26</v>
      </c>
      <c r="O8" s="73" t="s">
        <v>29</v>
      </c>
      <c r="R8" s="1" t="s">
        <v>30</v>
      </c>
    </row>
    <row r="9" spans="2:19" ht="18" customHeight="1" x14ac:dyDescent="0.6">
      <c r="B9" s="70"/>
      <c r="C9" s="74" t="s">
        <v>31</v>
      </c>
      <c r="D9" s="11" t="s">
        <v>32</v>
      </c>
      <c r="E9" s="11" t="s">
        <v>33</v>
      </c>
      <c r="F9" s="71"/>
      <c r="G9" s="74" t="s">
        <v>31</v>
      </c>
      <c r="H9" s="11" t="s">
        <v>32</v>
      </c>
      <c r="I9" s="11" t="s">
        <v>33</v>
      </c>
      <c r="J9" s="71"/>
      <c r="K9" s="74" t="s">
        <v>31</v>
      </c>
      <c r="L9" s="11" t="s">
        <v>32</v>
      </c>
      <c r="M9" s="11" t="s">
        <v>33</v>
      </c>
      <c r="N9" s="71"/>
      <c r="O9" s="73"/>
      <c r="R9" s="1" t="s">
        <v>34</v>
      </c>
    </row>
    <row r="10" spans="2:19" ht="18" customHeight="1" x14ac:dyDescent="0.6">
      <c r="B10" s="70"/>
      <c r="C10" s="74"/>
      <c r="D10" s="10" t="s">
        <v>35</v>
      </c>
      <c r="E10" s="10" t="s">
        <v>36</v>
      </c>
      <c r="F10" s="71"/>
      <c r="G10" s="74"/>
      <c r="H10" s="10" t="s">
        <v>35</v>
      </c>
      <c r="I10" s="10" t="s">
        <v>36</v>
      </c>
      <c r="J10" s="71"/>
      <c r="K10" s="74"/>
      <c r="L10" s="10" t="s">
        <v>35</v>
      </c>
      <c r="M10" s="10" t="s">
        <v>36</v>
      </c>
      <c r="N10" s="71"/>
      <c r="O10" s="73"/>
      <c r="R10" s="1" t="s">
        <v>37</v>
      </c>
    </row>
    <row r="11" spans="2:19" ht="24.75" customHeight="1" x14ac:dyDescent="0.6">
      <c r="B11" s="29">
        <v>41760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R11" s="1" t="s">
        <v>38</v>
      </c>
    </row>
    <row r="12" spans="2:19" ht="24.75" customHeight="1" x14ac:dyDescent="0.6">
      <c r="B12" s="29">
        <v>41761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R12" s="1" t="s">
        <v>39</v>
      </c>
    </row>
    <row r="13" spans="2:19" ht="24.75" customHeight="1" x14ac:dyDescent="0.6">
      <c r="B13" s="29">
        <v>41762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</row>
    <row r="14" spans="2:19" ht="24.75" customHeight="1" x14ac:dyDescent="0.6">
      <c r="B14" s="29">
        <v>41763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</row>
    <row r="15" spans="2:19" ht="24.75" customHeight="1" x14ac:dyDescent="0.6">
      <c r="B15" s="29">
        <v>41764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2:19" ht="24.75" customHeight="1" x14ac:dyDescent="0.6">
      <c r="B16" s="29">
        <v>41765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  <row r="17" spans="2:15" ht="24.75" customHeight="1" x14ac:dyDescent="0.6">
      <c r="B17" s="29">
        <v>41766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</row>
    <row r="18" spans="2:15" ht="24.75" customHeight="1" x14ac:dyDescent="0.6">
      <c r="B18" s="29">
        <v>41767</v>
      </c>
      <c r="C18" s="16">
        <f t="shared" ref="C18:O18" si="0">+B18</f>
        <v>41767</v>
      </c>
      <c r="D18" s="16">
        <f t="shared" si="0"/>
        <v>41767</v>
      </c>
      <c r="E18" s="16">
        <f t="shared" si="0"/>
        <v>41767</v>
      </c>
      <c r="F18" s="16">
        <f t="shared" si="0"/>
        <v>41767</v>
      </c>
      <c r="G18" s="16">
        <f t="shared" si="0"/>
        <v>41767</v>
      </c>
      <c r="H18" s="16">
        <f t="shared" si="0"/>
        <v>41767</v>
      </c>
      <c r="I18" s="16">
        <f t="shared" si="0"/>
        <v>41767</v>
      </c>
      <c r="J18" s="16">
        <f t="shared" si="0"/>
        <v>41767</v>
      </c>
      <c r="K18" s="16">
        <f t="shared" si="0"/>
        <v>41767</v>
      </c>
      <c r="L18" s="16">
        <f t="shared" si="0"/>
        <v>41767</v>
      </c>
      <c r="M18" s="16">
        <f t="shared" si="0"/>
        <v>41767</v>
      </c>
      <c r="N18" s="16">
        <f t="shared" si="0"/>
        <v>41767</v>
      </c>
      <c r="O18" s="17">
        <f t="shared" si="0"/>
        <v>41767</v>
      </c>
    </row>
    <row r="19" spans="2:15" ht="24.75" customHeight="1" x14ac:dyDescent="0.6">
      <c r="B19" s="29">
        <v>41768</v>
      </c>
      <c r="C19" s="18" t="e">
        <f>HLOOKUP($K$6,#REF!,10,0)</f>
        <v>#REF!</v>
      </c>
      <c r="D19" s="18" t="e">
        <f>HLOOKUP($K$6,#REF!,10,0)</f>
        <v>#REF!</v>
      </c>
      <c r="E19" s="18" t="e">
        <f>HLOOKUP($K$6,#REF!,10,0)</f>
        <v>#REF!</v>
      </c>
      <c r="F19" s="18" t="e">
        <f>HLOOKUP($K$6,#REF!,10,0)</f>
        <v>#REF!</v>
      </c>
      <c r="G19" s="18" t="e">
        <f>HLOOKUP($K$6,#REF!,10,0)</f>
        <v>#REF!</v>
      </c>
      <c r="H19" s="18" t="e">
        <f>HLOOKUP($K$6,#REF!,10,0)</f>
        <v>#REF!</v>
      </c>
      <c r="I19" s="18" t="e">
        <f>HLOOKUP($K$6,#REF!,10,0)</f>
        <v>#REF!</v>
      </c>
      <c r="J19" s="18" t="e">
        <f>HLOOKUP($K$6,#REF!,10,0)</f>
        <v>#REF!</v>
      </c>
      <c r="K19" s="18" t="e">
        <f>HLOOKUP($K$6,#REF!,10,0)</f>
        <v>#REF!</v>
      </c>
      <c r="L19" s="18" t="e">
        <f>HLOOKUP($K$6,#REF!,10,0)</f>
        <v>#REF!</v>
      </c>
      <c r="M19" s="18" t="e">
        <f>HLOOKUP($K$6,#REF!,10,0)</f>
        <v>#REF!</v>
      </c>
      <c r="N19" s="18" t="e">
        <f>HLOOKUP($K$6,#REF!,10,0)</f>
        <v>#REF!</v>
      </c>
      <c r="O19" s="19" t="e">
        <f>HLOOKUP($K$6,#REF!,10,0)</f>
        <v>#REF!</v>
      </c>
    </row>
    <row r="20" spans="2:15" ht="24.75" customHeight="1" x14ac:dyDescent="0.6">
      <c r="B20" s="29">
        <v>41769</v>
      </c>
      <c r="C20" s="18" t="e">
        <f>HLOOKUP($K$6,#REF!,10,0)</f>
        <v>#REF!</v>
      </c>
      <c r="D20" s="18" t="e">
        <f>HLOOKUP($K$6,#REF!,10,0)</f>
        <v>#REF!</v>
      </c>
      <c r="E20" s="18" t="e">
        <f>HLOOKUP($K$6,#REF!,10,0)</f>
        <v>#REF!</v>
      </c>
      <c r="F20" s="18" t="e">
        <f>HLOOKUP($K$6,#REF!,10,0)</f>
        <v>#REF!</v>
      </c>
      <c r="G20" s="18" t="e">
        <f>HLOOKUP($K$6,#REF!,10,0)</f>
        <v>#REF!</v>
      </c>
      <c r="H20" s="18" t="e">
        <f>HLOOKUP($K$6,#REF!,10,0)</f>
        <v>#REF!</v>
      </c>
      <c r="I20" s="18" t="e">
        <f>HLOOKUP($K$6,#REF!,10,0)</f>
        <v>#REF!</v>
      </c>
      <c r="J20" s="18" t="e">
        <f>HLOOKUP($K$6,#REF!,10,0)</f>
        <v>#REF!</v>
      </c>
      <c r="K20" s="18" t="e">
        <f>HLOOKUP($K$6,#REF!,10,0)</f>
        <v>#REF!</v>
      </c>
      <c r="L20" s="18" t="e">
        <f>HLOOKUP($K$6,#REF!,10,0)</f>
        <v>#REF!</v>
      </c>
      <c r="M20" s="18" t="e">
        <f>HLOOKUP($K$6,#REF!,10,0)</f>
        <v>#REF!</v>
      </c>
      <c r="N20" s="18" t="e">
        <f>HLOOKUP($K$6,#REF!,10,0)</f>
        <v>#REF!</v>
      </c>
      <c r="O20" s="19" t="e">
        <f>HLOOKUP($K$6,#REF!,10,0)</f>
        <v>#REF!</v>
      </c>
    </row>
    <row r="21" spans="2:15" ht="24.75" customHeight="1" x14ac:dyDescent="0.6">
      <c r="B21" s="29">
        <v>41770</v>
      </c>
      <c r="C21" s="18" t="e">
        <f>HLOOKUP($K$6,#REF!,12,0)</f>
        <v>#REF!</v>
      </c>
      <c r="D21" s="18" t="e">
        <f>HLOOKUP($K$6,#REF!,12,0)</f>
        <v>#REF!</v>
      </c>
      <c r="E21" s="18" t="e">
        <f>HLOOKUP($K$6,#REF!,12,0)</f>
        <v>#REF!</v>
      </c>
      <c r="F21" s="18" t="e">
        <f>HLOOKUP($K$6,#REF!,12,0)</f>
        <v>#REF!</v>
      </c>
      <c r="G21" s="18" t="e">
        <f>HLOOKUP($K$6,#REF!,12,0)</f>
        <v>#REF!</v>
      </c>
      <c r="H21" s="18" t="e">
        <f>HLOOKUP($K$6,#REF!,12,0)</f>
        <v>#REF!</v>
      </c>
      <c r="I21" s="18" t="e">
        <f>HLOOKUP($K$6,#REF!,12,0)</f>
        <v>#REF!</v>
      </c>
      <c r="J21" s="18" t="e">
        <f>HLOOKUP($K$6,#REF!,12,0)</f>
        <v>#REF!</v>
      </c>
      <c r="K21" s="18" t="e">
        <f>HLOOKUP($K$6,#REF!,12,0)</f>
        <v>#REF!</v>
      </c>
      <c r="L21" s="18" t="e">
        <f>HLOOKUP($K$6,#REF!,12,0)</f>
        <v>#REF!</v>
      </c>
      <c r="M21" s="18" t="e">
        <f>HLOOKUP($K$6,#REF!,12,0)</f>
        <v>#REF!</v>
      </c>
      <c r="N21" s="18" t="e">
        <f>HLOOKUP($K$6,#REF!,12,0)</f>
        <v>#REF!</v>
      </c>
      <c r="O21" s="19" t="e">
        <f>HLOOKUP($K$6,#REF!,12,0)</f>
        <v>#REF!</v>
      </c>
    </row>
    <row r="22" spans="2:15" ht="24.75" customHeight="1" x14ac:dyDescent="0.6">
      <c r="B22" s="29">
        <v>41771</v>
      </c>
      <c r="C22" s="18" t="e">
        <f>HLOOKUP($K$6,#REF!,13,0)</f>
        <v>#REF!</v>
      </c>
      <c r="D22" s="18" t="e">
        <f>HLOOKUP($K$6,#REF!,13,0)</f>
        <v>#REF!</v>
      </c>
      <c r="E22" s="18" t="e">
        <f>HLOOKUP($K$6,#REF!,13,0)</f>
        <v>#REF!</v>
      </c>
      <c r="F22" s="18" t="e">
        <f>HLOOKUP($K$6,#REF!,13,0)</f>
        <v>#REF!</v>
      </c>
      <c r="G22" s="18" t="e">
        <f>HLOOKUP($K$6,#REF!,13,0)</f>
        <v>#REF!</v>
      </c>
      <c r="H22" s="18" t="e">
        <f>HLOOKUP($K$6,#REF!,13,0)</f>
        <v>#REF!</v>
      </c>
      <c r="I22" s="18" t="e">
        <f>HLOOKUP($K$6,#REF!,13,0)</f>
        <v>#REF!</v>
      </c>
      <c r="J22" s="18" t="e">
        <f>HLOOKUP($K$6,#REF!,13,0)</f>
        <v>#REF!</v>
      </c>
      <c r="K22" s="18" t="e">
        <f>HLOOKUP($K$6,#REF!,13,0)</f>
        <v>#REF!</v>
      </c>
      <c r="L22" s="18" t="e">
        <f>HLOOKUP($K$6,#REF!,13,0)</f>
        <v>#REF!</v>
      </c>
      <c r="M22" s="18" t="e">
        <f>HLOOKUP($K$6,#REF!,13,0)</f>
        <v>#REF!</v>
      </c>
      <c r="N22" s="18" t="e">
        <f>HLOOKUP($K$6,#REF!,13,0)</f>
        <v>#REF!</v>
      </c>
      <c r="O22" s="19" t="e">
        <f>HLOOKUP($K$6,#REF!,13,0)</f>
        <v>#REF!</v>
      </c>
    </row>
    <row r="23" spans="2:15" ht="24.75" customHeight="1" x14ac:dyDescent="0.6">
      <c r="B23" s="29">
        <v>41772</v>
      </c>
      <c r="C23" s="18" t="e">
        <f>HLOOKUP($K$6,#REF!,14,0)</f>
        <v>#REF!</v>
      </c>
      <c r="D23" s="18" t="e">
        <f>HLOOKUP($K$6,#REF!,14,0)</f>
        <v>#REF!</v>
      </c>
      <c r="E23" s="18" t="e">
        <f>HLOOKUP($K$6,#REF!,14,0)</f>
        <v>#REF!</v>
      </c>
      <c r="F23" s="18" t="e">
        <f>HLOOKUP($K$6,#REF!,14,0)</f>
        <v>#REF!</v>
      </c>
      <c r="G23" s="18" t="e">
        <f>HLOOKUP($K$6,#REF!,14,0)</f>
        <v>#REF!</v>
      </c>
      <c r="H23" s="18" t="e">
        <f>HLOOKUP($K$6,#REF!,14,0)</f>
        <v>#REF!</v>
      </c>
      <c r="I23" s="18" t="e">
        <f>HLOOKUP($K$6,#REF!,14,0)</f>
        <v>#REF!</v>
      </c>
      <c r="J23" s="18" t="e">
        <f>HLOOKUP($K$6,#REF!,14,0)</f>
        <v>#REF!</v>
      </c>
      <c r="K23" s="18" t="e">
        <f>HLOOKUP($K$6,#REF!,14,0)</f>
        <v>#REF!</v>
      </c>
      <c r="L23" s="18" t="e">
        <f>HLOOKUP($K$6,#REF!,14,0)</f>
        <v>#REF!</v>
      </c>
      <c r="M23" s="18" t="e">
        <f>HLOOKUP($K$6,#REF!,14,0)</f>
        <v>#REF!</v>
      </c>
      <c r="N23" s="18" t="e">
        <f>HLOOKUP($K$6,#REF!,14,0)</f>
        <v>#REF!</v>
      </c>
      <c r="O23" s="19" t="e">
        <f>HLOOKUP($K$6,#REF!,14,0)</f>
        <v>#REF!</v>
      </c>
    </row>
    <row r="24" spans="2:15" ht="24.75" customHeight="1" x14ac:dyDescent="0.6">
      <c r="B24" s="29">
        <v>41773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 spans="2:15" ht="24.75" customHeight="1" x14ac:dyDescent="0.6">
      <c r="B25" s="29">
        <v>41774</v>
      </c>
      <c r="C25" s="18" t="e">
        <f>HLOOKUP($K$6,#REF!,14,0)</f>
        <v>#REF!</v>
      </c>
      <c r="D25" s="18" t="e">
        <f>HLOOKUP($K$6,#REF!,14,0)</f>
        <v>#REF!</v>
      </c>
      <c r="E25" s="18" t="e">
        <f>HLOOKUP($K$6,#REF!,14,0)</f>
        <v>#REF!</v>
      </c>
      <c r="F25" s="18" t="e">
        <f>HLOOKUP($K$6,#REF!,14,0)</f>
        <v>#REF!</v>
      </c>
      <c r="G25" s="18" t="e">
        <f>HLOOKUP($K$6,#REF!,14,0)</f>
        <v>#REF!</v>
      </c>
      <c r="H25" s="18" t="e">
        <f>HLOOKUP($K$6,#REF!,14,0)</f>
        <v>#REF!</v>
      </c>
      <c r="I25" s="18" t="e">
        <f>HLOOKUP($K$6,#REF!,14,0)</f>
        <v>#REF!</v>
      </c>
      <c r="J25" s="18" t="e">
        <f>HLOOKUP($K$6,#REF!,14,0)</f>
        <v>#REF!</v>
      </c>
      <c r="K25" s="18" t="e">
        <f>HLOOKUP($K$6,#REF!,14,0)</f>
        <v>#REF!</v>
      </c>
      <c r="L25" s="18" t="e">
        <f>HLOOKUP($K$6,#REF!,14,0)</f>
        <v>#REF!</v>
      </c>
      <c r="M25" s="18" t="e">
        <f>HLOOKUP($K$6,#REF!,14,0)</f>
        <v>#REF!</v>
      </c>
      <c r="N25" s="18" t="e">
        <f>HLOOKUP($K$6,#REF!,14,0)</f>
        <v>#REF!</v>
      </c>
      <c r="O25" s="19" t="e">
        <f>HLOOKUP($K$6,#REF!,14,0)</f>
        <v>#REF!</v>
      </c>
    </row>
    <row r="26" spans="2:15" ht="24.75" customHeight="1" x14ac:dyDescent="0.6">
      <c r="B26" s="29">
        <v>41775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 spans="2:15" ht="24.75" customHeight="1" x14ac:dyDescent="0.6">
      <c r="B27" s="29">
        <v>41776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2:15" ht="24.75" customHeight="1" x14ac:dyDescent="0.6">
      <c r="B28" s="29">
        <v>41777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2:15" ht="24.75" customHeight="1" x14ac:dyDescent="0.6">
      <c r="B29" s="29">
        <v>41778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2:15" ht="24.75" customHeight="1" x14ac:dyDescent="0.6">
      <c r="B30" s="29">
        <v>41779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2:15" ht="24.75" customHeight="1" x14ac:dyDescent="0.6">
      <c r="B31" s="29">
        <v>41780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2:15" ht="24.75" customHeight="1" x14ac:dyDescent="0.6">
      <c r="B32" s="29">
        <v>41781</v>
      </c>
      <c r="C32" s="16">
        <f t="shared" ref="C32:O32" si="1">+B32</f>
        <v>41781</v>
      </c>
      <c r="D32" s="16">
        <f t="shared" si="1"/>
        <v>41781</v>
      </c>
      <c r="E32" s="16">
        <f t="shared" si="1"/>
        <v>41781</v>
      </c>
      <c r="F32" s="16">
        <f t="shared" si="1"/>
        <v>41781</v>
      </c>
      <c r="G32" s="16">
        <f t="shared" si="1"/>
        <v>41781</v>
      </c>
      <c r="H32" s="16">
        <f t="shared" si="1"/>
        <v>41781</v>
      </c>
      <c r="I32" s="16">
        <f t="shared" si="1"/>
        <v>41781</v>
      </c>
      <c r="J32" s="16">
        <f t="shared" si="1"/>
        <v>41781</v>
      </c>
      <c r="K32" s="16">
        <f t="shared" si="1"/>
        <v>41781</v>
      </c>
      <c r="L32" s="16">
        <f t="shared" si="1"/>
        <v>41781</v>
      </c>
      <c r="M32" s="16">
        <f t="shared" si="1"/>
        <v>41781</v>
      </c>
      <c r="N32" s="16">
        <f t="shared" si="1"/>
        <v>41781</v>
      </c>
      <c r="O32" s="17">
        <f t="shared" si="1"/>
        <v>41781</v>
      </c>
    </row>
    <row r="33" spans="2:24" ht="24.75" customHeight="1" x14ac:dyDescent="0.6">
      <c r="B33" s="29">
        <v>41782</v>
      </c>
      <c r="C33" s="18" t="e">
        <f>HLOOKUP($K$6,#REF!,24,0)</f>
        <v>#REF!</v>
      </c>
      <c r="D33" s="18" t="e">
        <f>HLOOKUP($K$6,#REF!,24,0)</f>
        <v>#REF!</v>
      </c>
      <c r="E33" s="18" t="e">
        <f>HLOOKUP($K$6,#REF!,24,0)</f>
        <v>#REF!</v>
      </c>
      <c r="F33" s="18" t="e">
        <f>HLOOKUP($K$6,#REF!,24,0)</f>
        <v>#REF!</v>
      </c>
      <c r="G33" s="18" t="e">
        <f>HLOOKUP($K$6,#REF!,24,0)</f>
        <v>#REF!</v>
      </c>
      <c r="H33" s="18" t="e">
        <f>HLOOKUP($K$6,#REF!,24,0)</f>
        <v>#REF!</v>
      </c>
      <c r="I33" s="18" t="e">
        <f>HLOOKUP($K$6,#REF!,24,0)</f>
        <v>#REF!</v>
      </c>
      <c r="J33" s="18" t="e">
        <f>HLOOKUP($K$6,#REF!,24,0)</f>
        <v>#REF!</v>
      </c>
      <c r="K33" s="18" t="e">
        <f>HLOOKUP($K$6,#REF!,24,0)</f>
        <v>#REF!</v>
      </c>
      <c r="L33" s="18" t="e">
        <f>HLOOKUP($K$6,#REF!,24,0)</f>
        <v>#REF!</v>
      </c>
      <c r="M33" s="18" t="e">
        <f>HLOOKUP($K$6,#REF!,24,0)</f>
        <v>#REF!</v>
      </c>
      <c r="N33" s="18" t="e">
        <f>HLOOKUP($K$6,#REF!,24,0)</f>
        <v>#REF!</v>
      </c>
      <c r="O33" s="19" t="e">
        <f>HLOOKUP($K$6,#REF!,24,0)</f>
        <v>#REF!</v>
      </c>
    </row>
    <row r="34" spans="2:24" ht="24.75" customHeight="1" x14ac:dyDescent="0.6">
      <c r="B34" s="29">
        <v>41783</v>
      </c>
      <c r="C34" s="18" t="e">
        <f>HLOOKUP($K$6,#REF!,24,0)</f>
        <v>#REF!</v>
      </c>
      <c r="D34" s="18" t="e">
        <f>HLOOKUP($K$6,#REF!,24,0)</f>
        <v>#REF!</v>
      </c>
      <c r="E34" s="18" t="e">
        <f>HLOOKUP($K$6,#REF!,24,0)</f>
        <v>#REF!</v>
      </c>
      <c r="F34" s="18" t="e">
        <f>HLOOKUP($K$6,#REF!,24,0)</f>
        <v>#REF!</v>
      </c>
      <c r="G34" s="18" t="e">
        <f>HLOOKUP($K$6,#REF!,24,0)</f>
        <v>#REF!</v>
      </c>
      <c r="H34" s="18" t="e">
        <f>HLOOKUP($K$6,#REF!,24,0)</f>
        <v>#REF!</v>
      </c>
      <c r="I34" s="18" t="e">
        <f>HLOOKUP($K$6,#REF!,24,0)</f>
        <v>#REF!</v>
      </c>
      <c r="J34" s="18" t="e">
        <f>HLOOKUP($K$6,#REF!,24,0)</f>
        <v>#REF!</v>
      </c>
      <c r="K34" s="18" t="e">
        <f>HLOOKUP($K$6,#REF!,24,0)</f>
        <v>#REF!</v>
      </c>
      <c r="L34" s="18" t="e">
        <f>HLOOKUP($K$6,#REF!,24,0)</f>
        <v>#REF!</v>
      </c>
      <c r="M34" s="18" t="e">
        <f>HLOOKUP($K$6,#REF!,24,0)</f>
        <v>#REF!</v>
      </c>
      <c r="N34" s="18" t="e">
        <f>HLOOKUP($K$6,#REF!,24,0)</f>
        <v>#REF!</v>
      </c>
      <c r="O34" s="19" t="e">
        <f>HLOOKUP($K$6,#REF!,24,0)</f>
        <v>#REF!</v>
      </c>
      <c r="T34" s="60"/>
      <c r="U34" s="60"/>
      <c r="V34" s="60"/>
      <c r="W34" s="30"/>
      <c r="X34" s="30"/>
    </row>
    <row r="35" spans="2:24" ht="24.75" customHeight="1" x14ac:dyDescent="0.6">
      <c r="B35" s="29">
        <v>41784</v>
      </c>
      <c r="C35" s="18" t="e">
        <f>HLOOKUP($K$6,#REF!,26,0)</f>
        <v>#REF!</v>
      </c>
      <c r="D35" s="18" t="e">
        <f>HLOOKUP($K$6,#REF!,26,0)</f>
        <v>#REF!</v>
      </c>
      <c r="E35" s="18" t="e">
        <f>HLOOKUP($K$6,#REF!,26,0)</f>
        <v>#REF!</v>
      </c>
      <c r="F35" s="18" t="e">
        <f>HLOOKUP($K$6,#REF!,26,0)</f>
        <v>#REF!</v>
      </c>
      <c r="G35" s="18" t="e">
        <f>HLOOKUP($K$6,#REF!,26,0)</f>
        <v>#REF!</v>
      </c>
      <c r="H35" s="18" t="e">
        <f>HLOOKUP($K$6,#REF!,26,0)</f>
        <v>#REF!</v>
      </c>
      <c r="I35" s="18" t="e">
        <f>HLOOKUP($K$6,#REF!,26,0)</f>
        <v>#REF!</v>
      </c>
      <c r="J35" s="18" t="e">
        <f>HLOOKUP($K$6,#REF!,26,0)</f>
        <v>#REF!</v>
      </c>
      <c r="K35" s="18" t="e">
        <f>HLOOKUP($K$6,#REF!,26,0)</f>
        <v>#REF!</v>
      </c>
      <c r="L35" s="18" t="e">
        <f>HLOOKUP($K$6,#REF!,26,0)</f>
        <v>#REF!</v>
      </c>
      <c r="M35" s="18" t="e">
        <f>HLOOKUP($K$6,#REF!,26,0)</f>
        <v>#REF!</v>
      </c>
      <c r="N35" s="18" t="e">
        <f>HLOOKUP($K$6,#REF!,26,0)</f>
        <v>#REF!</v>
      </c>
      <c r="O35" s="19" t="e">
        <f>HLOOKUP($K$6,#REF!,26,0)</f>
        <v>#REF!</v>
      </c>
      <c r="T35" s="45"/>
      <c r="U35" s="45"/>
      <c r="V35" s="7"/>
      <c r="W35" s="30"/>
      <c r="X35" s="30"/>
    </row>
    <row r="36" spans="2:24" ht="24.75" customHeight="1" x14ac:dyDescent="0.6">
      <c r="B36" s="29">
        <v>41785</v>
      </c>
      <c r="C36" s="18" t="e">
        <f>HLOOKUP($K$6,#REF!,27,0)</f>
        <v>#REF!</v>
      </c>
      <c r="D36" s="18" t="e">
        <f>HLOOKUP($K$6,#REF!,27,0)</f>
        <v>#REF!</v>
      </c>
      <c r="E36" s="18" t="e">
        <f>HLOOKUP($K$6,#REF!,27,0)</f>
        <v>#REF!</v>
      </c>
      <c r="F36" s="18" t="e">
        <f>HLOOKUP($K$6,#REF!,27,0)</f>
        <v>#REF!</v>
      </c>
      <c r="G36" s="18" t="e">
        <f>HLOOKUP($K$6,#REF!,27,0)</f>
        <v>#REF!</v>
      </c>
      <c r="H36" s="18" t="e">
        <f>HLOOKUP($K$6,#REF!,27,0)</f>
        <v>#REF!</v>
      </c>
      <c r="I36" s="18" t="e">
        <f>HLOOKUP($K$6,#REF!,27,0)</f>
        <v>#REF!</v>
      </c>
      <c r="J36" s="18" t="e">
        <f>HLOOKUP($K$6,#REF!,27,0)</f>
        <v>#REF!</v>
      </c>
      <c r="K36" s="18" t="e">
        <f>HLOOKUP($K$6,#REF!,27,0)</f>
        <v>#REF!</v>
      </c>
      <c r="L36" s="18" t="e">
        <f>HLOOKUP($K$6,#REF!,27,0)</f>
        <v>#REF!</v>
      </c>
      <c r="M36" s="18" t="e">
        <f>HLOOKUP($K$6,#REF!,27,0)</f>
        <v>#REF!</v>
      </c>
      <c r="N36" s="18" t="e">
        <f>HLOOKUP($K$6,#REF!,27,0)</f>
        <v>#REF!</v>
      </c>
      <c r="O36" s="19" t="e">
        <f>HLOOKUP($K$6,#REF!,27,0)</f>
        <v>#REF!</v>
      </c>
      <c r="T36" s="45"/>
      <c r="U36" s="45"/>
      <c r="V36" s="7"/>
      <c r="W36" s="30"/>
      <c r="X36" s="30"/>
    </row>
    <row r="37" spans="2:24" ht="24.75" customHeight="1" x14ac:dyDescent="0.6">
      <c r="B37" s="29">
        <v>41786</v>
      </c>
      <c r="C37" s="18" t="e">
        <f>HLOOKUP($K$6,#REF!,28,0)</f>
        <v>#REF!</v>
      </c>
      <c r="D37" s="18" t="e">
        <f>HLOOKUP($K$6,#REF!,28,0)</f>
        <v>#REF!</v>
      </c>
      <c r="E37" s="18" t="e">
        <f>HLOOKUP($K$6,#REF!,28,0)</f>
        <v>#REF!</v>
      </c>
      <c r="F37" s="18" t="e">
        <f>HLOOKUP($K$6,#REF!,28,0)</f>
        <v>#REF!</v>
      </c>
      <c r="G37" s="18" t="e">
        <f>HLOOKUP($K$6,#REF!,28,0)</f>
        <v>#REF!</v>
      </c>
      <c r="H37" s="18" t="e">
        <f>HLOOKUP($K$6,#REF!,28,0)</f>
        <v>#REF!</v>
      </c>
      <c r="I37" s="18" t="e">
        <f>HLOOKUP($K$6,#REF!,28,0)</f>
        <v>#REF!</v>
      </c>
      <c r="J37" s="18" t="e">
        <f>HLOOKUP($K$6,#REF!,28,0)</f>
        <v>#REF!</v>
      </c>
      <c r="K37" s="18" t="e">
        <f>HLOOKUP($K$6,#REF!,28,0)</f>
        <v>#REF!</v>
      </c>
      <c r="L37" s="18" t="e">
        <f>HLOOKUP($K$6,#REF!,28,0)</f>
        <v>#REF!</v>
      </c>
      <c r="M37" s="18" t="e">
        <f>HLOOKUP($K$6,#REF!,28,0)</f>
        <v>#REF!</v>
      </c>
      <c r="N37" s="18" t="e">
        <f>HLOOKUP($K$6,#REF!,28,0)</f>
        <v>#REF!</v>
      </c>
      <c r="O37" s="19" t="e">
        <f>HLOOKUP($K$6,#REF!,28,0)</f>
        <v>#REF!</v>
      </c>
      <c r="T37" s="45"/>
      <c r="U37" s="45"/>
      <c r="V37" s="7"/>
      <c r="W37" s="30"/>
      <c r="X37" s="30"/>
    </row>
    <row r="38" spans="2:24" ht="24.75" customHeight="1" x14ac:dyDescent="0.6">
      <c r="B38" s="29">
        <v>41787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</row>
    <row r="39" spans="2:24" ht="24.75" customHeight="1" x14ac:dyDescent="0.6">
      <c r="B39" s="29">
        <v>41788</v>
      </c>
      <c r="C39" s="18" t="e">
        <f>HLOOKUP($K$6,#REF!,14,0)</f>
        <v>#REF!</v>
      </c>
      <c r="D39" s="18" t="e">
        <f>HLOOKUP($K$6,#REF!,14,0)</f>
        <v>#REF!</v>
      </c>
      <c r="E39" s="18" t="e">
        <f>HLOOKUP($K$6,#REF!,14,0)</f>
        <v>#REF!</v>
      </c>
      <c r="F39" s="18" t="e">
        <f>HLOOKUP($K$6,#REF!,14,0)</f>
        <v>#REF!</v>
      </c>
      <c r="G39" s="18" t="e">
        <f>HLOOKUP($K$6,#REF!,14,0)</f>
        <v>#REF!</v>
      </c>
      <c r="H39" s="18" t="e">
        <f>HLOOKUP($K$6,#REF!,14,0)</f>
        <v>#REF!</v>
      </c>
      <c r="I39" s="18" t="e">
        <f>HLOOKUP($K$6,#REF!,14,0)</f>
        <v>#REF!</v>
      </c>
      <c r="J39" s="18" t="e">
        <f>HLOOKUP($K$6,#REF!,14,0)</f>
        <v>#REF!</v>
      </c>
      <c r="K39" s="18" t="e">
        <f>HLOOKUP($K$6,#REF!,14,0)</f>
        <v>#REF!</v>
      </c>
      <c r="L39" s="18" t="e">
        <f>HLOOKUP($K$6,#REF!,14,0)</f>
        <v>#REF!</v>
      </c>
      <c r="M39" s="18" t="e">
        <f>HLOOKUP($K$6,#REF!,14,0)</f>
        <v>#REF!</v>
      </c>
      <c r="N39" s="18" t="e">
        <f>HLOOKUP($K$6,#REF!,14,0)</f>
        <v>#REF!</v>
      </c>
      <c r="O39" s="19" t="e">
        <f>HLOOKUP($K$6,#REF!,14,0)</f>
        <v>#REF!</v>
      </c>
    </row>
    <row r="40" spans="2:24" ht="24.75" customHeight="1" x14ac:dyDescent="0.6">
      <c r="B40" s="29">
        <v>41789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</row>
    <row r="41" spans="2:24" ht="24.75" customHeight="1" x14ac:dyDescent="0.6">
      <c r="B41" s="29">
        <v>41790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</row>
    <row r="42" spans="2:24" ht="9" customHeight="1" x14ac:dyDescent="0.6">
      <c r="B42" s="23"/>
    </row>
    <row r="43" spans="2:24" ht="20.25" customHeight="1" x14ac:dyDescent="0.6">
      <c r="B43" s="63" t="s">
        <v>48</v>
      </c>
      <c r="C43" s="63"/>
      <c r="D43" s="63"/>
      <c r="E43" s="63"/>
      <c r="F43" s="63"/>
      <c r="G43" s="63"/>
      <c r="H43" s="63"/>
      <c r="I43" s="63"/>
      <c r="K43" s="65" t="s">
        <v>49</v>
      </c>
      <c r="L43" s="65"/>
      <c r="M43" s="65"/>
      <c r="N43" s="65"/>
      <c r="O43" s="65"/>
    </row>
    <row r="44" spans="2:24" ht="18" customHeight="1" x14ac:dyDescent="0.6">
      <c r="B44" s="63" t="s">
        <v>50</v>
      </c>
      <c r="C44" s="63"/>
      <c r="D44" s="63"/>
      <c r="E44" s="63"/>
      <c r="F44" s="63"/>
      <c r="G44" s="63"/>
      <c r="H44" s="63"/>
      <c r="I44" s="63"/>
      <c r="K44" s="61" t="s">
        <v>51</v>
      </c>
      <c r="L44" s="61"/>
      <c r="M44" s="61"/>
      <c r="N44" s="61" t="s">
        <v>52</v>
      </c>
      <c r="O44" s="61"/>
      <c r="P44" s="31"/>
    </row>
    <row r="45" spans="2:24" ht="17.25" customHeight="1" x14ac:dyDescent="0.6">
      <c r="B45" s="64"/>
      <c r="C45" s="64"/>
      <c r="D45" s="64"/>
      <c r="E45" s="64"/>
      <c r="F45" s="64"/>
      <c r="G45" s="64"/>
      <c r="H45" s="64"/>
      <c r="I45" s="64"/>
      <c r="K45" s="61" t="s">
        <v>53</v>
      </c>
      <c r="L45" s="61"/>
      <c r="M45" s="61"/>
      <c r="N45" s="61" t="s">
        <v>54</v>
      </c>
      <c r="O45" s="61"/>
    </row>
    <row r="46" spans="2:24" ht="17.25" customHeight="1" x14ac:dyDescent="0.6">
      <c r="B46" s="43"/>
      <c r="C46" s="43"/>
      <c r="D46" s="43"/>
      <c r="E46" s="43"/>
      <c r="F46" s="43"/>
      <c r="G46" s="43"/>
      <c r="H46" s="43"/>
      <c r="I46" s="43"/>
      <c r="K46" s="61" t="s">
        <v>55</v>
      </c>
      <c r="L46" s="61"/>
      <c r="M46" s="61"/>
      <c r="N46" s="61" t="s">
        <v>56</v>
      </c>
      <c r="O46" s="61"/>
    </row>
    <row r="47" spans="2:24" ht="18" customHeight="1" x14ac:dyDescent="0.6">
      <c r="B47" s="43"/>
      <c r="C47" s="43"/>
      <c r="D47" s="43"/>
      <c r="E47" s="43"/>
      <c r="F47" s="43"/>
      <c r="G47" s="43"/>
      <c r="H47" s="43"/>
      <c r="I47" s="43"/>
      <c r="M47" s="62"/>
      <c r="N47" s="62"/>
      <c r="O47" s="62"/>
    </row>
    <row r="48" spans="2:24" ht="20.25" customHeight="1" x14ac:dyDescent="0.6">
      <c r="B48" s="24" t="s">
        <v>57</v>
      </c>
      <c r="C48" s="25"/>
      <c r="M48" s="45"/>
      <c r="N48" s="45"/>
      <c r="O48" s="7"/>
    </row>
    <row r="49" spans="2:15" ht="17.25" customHeight="1" x14ac:dyDescent="0.6">
      <c r="M49" s="45"/>
      <c r="N49" s="45"/>
      <c r="O49" s="7"/>
    </row>
    <row r="50" spans="2:15" ht="17.25" customHeight="1" x14ac:dyDescent="0.6">
      <c r="B50" s="24"/>
      <c r="C50" s="25" t="s">
        <v>0</v>
      </c>
      <c r="D50" s="25"/>
      <c r="E50" s="25"/>
      <c r="F50" s="25"/>
      <c r="M50" s="30" t="s">
        <v>58</v>
      </c>
      <c r="N50" s="32"/>
      <c r="O50" s="7"/>
    </row>
    <row r="51" spans="2:15" ht="17.25" customHeight="1" x14ac:dyDescent="0.6">
      <c r="B51" s="24" t="s">
        <v>40</v>
      </c>
      <c r="C51" s="25" t="s">
        <v>59</v>
      </c>
      <c r="D51" s="25"/>
      <c r="E51" s="25"/>
      <c r="F51" s="25"/>
      <c r="M51" s="60" t="s">
        <v>60</v>
      </c>
      <c r="N51" s="60"/>
      <c r="O51" s="60"/>
    </row>
  </sheetData>
  <mergeCells count="34">
    <mergeCell ref="E2:O3"/>
    <mergeCell ref="B4:O4"/>
    <mergeCell ref="D5:F5"/>
    <mergeCell ref="D6:F6"/>
    <mergeCell ref="B8:B10"/>
    <mergeCell ref="F8:F10"/>
    <mergeCell ref="G8:I8"/>
    <mergeCell ref="J8:J10"/>
    <mergeCell ref="K8:M8"/>
    <mergeCell ref="N8:N10"/>
    <mergeCell ref="O8:O10"/>
    <mergeCell ref="C9:C10"/>
    <mergeCell ref="G9:G10"/>
    <mergeCell ref="K9:K10"/>
    <mergeCell ref="T34:V34"/>
    <mergeCell ref="T35:U35"/>
    <mergeCell ref="T36:U36"/>
    <mergeCell ref="T37:U37"/>
    <mergeCell ref="B43:I43"/>
    <mergeCell ref="K43:O43"/>
    <mergeCell ref="B44:I44"/>
    <mergeCell ref="K44:M44"/>
    <mergeCell ref="N44:O44"/>
    <mergeCell ref="B45:I45"/>
    <mergeCell ref="K45:M45"/>
    <mergeCell ref="N45:O45"/>
    <mergeCell ref="M48:N48"/>
    <mergeCell ref="M49:N49"/>
    <mergeCell ref="M51:O51"/>
    <mergeCell ref="B46:I46"/>
    <mergeCell ref="K46:M46"/>
    <mergeCell ref="N46:O46"/>
    <mergeCell ref="B47:I47"/>
    <mergeCell ref="M47:O47"/>
  </mergeCells>
  <conditionalFormatting sqref="B11:B41">
    <cfRule type="cellIs" dxfId="22" priority="4" operator="equal">
      <formula>38544</formula>
    </cfRule>
  </conditionalFormatting>
  <conditionalFormatting sqref="C18:O18">
    <cfRule type="cellIs" dxfId="21" priority="2" operator="equal">
      <formula>38299</formula>
    </cfRule>
  </conditionalFormatting>
  <conditionalFormatting sqref="C19:O20">
    <cfRule type="cellIs" dxfId="20" priority="10" operator="equal">
      <formula>38726</formula>
    </cfRule>
    <cfRule type="cellIs" dxfId="19" priority="11" operator="equal">
      <formula>38999</formula>
    </cfRule>
  </conditionalFormatting>
  <conditionalFormatting sqref="C21:O21">
    <cfRule type="cellIs" dxfId="18" priority="6" operator="equal">
      <formula>38971</formula>
    </cfRule>
  </conditionalFormatting>
  <conditionalFormatting sqref="C22:O22">
    <cfRule type="cellIs" dxfId="17" priority="18" operator="equal">
      <formula>38880</formula>
    </cfRule>
    <cfRule type="cellIs" dxfId="16" priority="19" operator="equal">
      <formula>39063</formula>
    </cfRule>
  </conditionalFormatting>
  <conditionalFormatting sqref="C23:O25">
    <cfRule type="cellIs" dxfId="15" priority="12" operator="equal">
      <formula>38761</formula>
    </cfRule>
    <cfRule type="cellIs" dxfId="14" priority="13" operator="equal">
      <formula>38789</formula>
    </cfRule>
    <cfRule type="cellIs" dxfId="13" priority="14" operator="equal">
      <formula>39034</formula>
    </cfRule>
  </conditionalFormatting>
  <conditionalFormatting sqref="C32:O32">
    <cfRule type="cellIs" dxfId="12" priority="3" operator="equal">
      <formula>38313</formula>
    </cfRule>
  </conditionalFormatting>
  <conditionalFormatting sqref="C33:O34">
    <cfRule type="cellIs" dxfId="11" priority="8" operator="equal">
      <formula>38740</formula>
    </cfRule>
    <cfRule type="cellIs" dxfId="10" priority="9" operator="equal">
      <formula>39013</formula>
    </cfRule>
  </conditionalFormatting>
  <conditionalFormatting sqref="C35:O35">
    <cfRule type="cellIs" dxfId="9" priority="7" operator="equal">
      <formula>38985</formula>
    </cfRule>
  </conditionalFormatting>
  <conditionalFormatting sqref="C36:O36">
    <cfRule type="cellIs" dxfId="8" priority="20" operator="equal">
      <formula>38894</formula>
    </cfRule>
    <cfRule type="cellIs" dxfId="7" priority="21" operator="equal">
      <formula>39077</formula>
    </cfRule>
  </conditionalFormatting>
  <conditionalFormatting sqref="C37:O38">
    <cfRule type="cellIs" dxfId="6" priority="15" operator="equal">
      <formula>38775</formula>
    </cfRule>
    <cfRule type="cellIs" dxfId="5" priority="16" operator="equal">
      <formula>38803</formula>
    </cfRule>
    <cfRule type="cellIs" dxfId="4" priority="17" operator="equal">
      <formula>39048</formula>
    </cfRule>
  </conditionalFormatting>
  <conditionalFormatting sqref="C39:O39">
    <cfRule type="cellIs" dxfId="3" priority="29" operator="equal">
      <formula>38761</formula>
    </cfRule>
    <cfRule type="cellIs" dxfId="2" priority="30" operator="equal">
      <formula>38789</formula>
    </cfRule>
    <cfRule type="cellIs" dxfId="1" priority="31" operator="equal">
      <formula>39034</formula>
    </cfRule>
  </conditionalFormatting>
  <conditionalFormatting sqref="C40:O40">
    <cfRule type="cellIs" dxfId="0" priority="5" operator="equal">
      <formula>38866</formula>
    </cfRule>
  </conditionalFormatting>
  <dataValidations count="3">
    <dataValidation type="list" allowBlank="1" showErrorMessage="1" sqref="D6:F6" xr:uid="{00000000-0002-0000-0100-000000000000}">
      <formula1>$Q$1:$Q$3</formula1>
      <formula2>0</formula2>
    </dataValidation>
    <dataValidation type="list" allowBlank="1" showErrorMessage="1" sqref="D5:F5" xr:uid="{00000000-0002-0000-0100-000001000000}">
      <formula1>$S$1:$S$4</formula1>
      <formula2>0</formula2>
    </dataValidation>
    <dataValidation type="list" allowBlank="1" showErrorMessage="1" sqref="K6" xr:uid="{00000000-0002-0000-0100-000002000000}">
      <formula1>$R$1:$R$12</formula1>
      <formula2>0</formula2>
    </dataValidation>
  </dataValidations>
  <printOptions horizontalCentered="1"/>
  <pageMargins left="0.30972222222222201" right="0.27986111111111101" top="0.75972222222222197" bottom="0.8" header="0.511811023622047" footer="0.62986111111111098"/>
  <pageSetup paperSize="9" scale="65" orientation="portrait" horizontalDpi="300" verticalDpi="300" r:id="rId1"/>
  <headerFooter>
    <oddFooter>&amp;RCM-007-04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T° AMBIENTAL</vt:lpstr>
      <vt:lpstr>REFRIGERADOS</vt:lpstr>
      <vt:lpstr>REFRIGERADOS!Área_de_impresión</vt:lpstr>
      <vt:lpstr>'T° AMBIENTAL'!Área_de_impresión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Sandoval</dc:creator>
  <dc:description/>
  <cp:lastModifiedBy>Josué Daniel Pérez Astete</cp:lastModifiedBy>
  <cp:revision>0</cp:revision>
  <cp:lastPrinted>2026-03-01T07:21:18Z</cp:lastPrinted>
  <dcterms:created xsi:type="dcterms:W3CDTF">2003-08-07T20:30:51Z</dcterms:created>
  <dcterms:modified xsi:type="dcterms:W3CDTF">2026-03-01T08:11:43Z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